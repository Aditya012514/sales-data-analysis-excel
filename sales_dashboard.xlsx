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Sales Data Analysis Project\"/>
    </mc:Choice>
  </mc:AlternateContent>
  <bookViews>
    <workbookView xWindow="0" yWindow="0" windowWidth="23040" windowHeight="9252" activeTab="3"/>
  </bookViews>
  <sheets>
    <sheet name="Region Analysis" sheetId="2" r:id="rId1"/>
    <sheet name="Category Analysis" sheetId="3" r:id="rId2"/>
    <sheet name="Monthly Trend" sheetId="1" r:id="rId3"/>
    <sheet name="Dashboard" sheetId="4" r:id="rId4"/>
  </sheets>
  <calcPr calcId="152511"/>
  <pivotCaches>
    <pivotCache cacheId="78" r:id="rId5"/>
    <pivotCache cacheId="81" r:id="rId6"/>
    <pivotCache cacheId="84" r:id="rId7"/>
  </pivotCaches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<sst xmlns="http://schemas.openxmlformats.org/spreadsheetml/2006/main" count="839" uniqueCount="391">
  <si>
    <t>Order ID</t>
  </si>
  <si>
    <t>Order Date</t>
  </si>
  <si>
    <t>Region</t>
  </si>
  <si>
    <t>Category</t>
  </si>
  <si>
    <t>Sales</t>
  </si>
  <si>
    <t>ORD0001</t>
  </si>
  <si>
    <t>2023-07-13</t>
  </si>
  <si>
    <t>East</t>
  </si>
  <si>
    <t>Technology</t>
  </si>
  <si>
    <t>ORD0002</t>
  </si>
  <si>
    <t>2023-02-22</t>
  </si>
  <si>
    <t>South</t>
  </si>
  <si>
    <t>Office Supplies</t>
  </si>
  <si>
    <t>ORD0003</t>
  </si>
  <si>
    <t>2023-05-13</t>
  </si>
  <si>
    <t>Furniture</t>
  </si>
  <si>
    <t>ORD0004</t>
  </si>
  <si>
    <t>2023-02-14</t>
  </si>
  <si>
    <t>West</t>
  </si>
  <si>
    <t>ORD0005</t>
  </si>
  <si>
    <t>2023-11-21</t>
  </si>
  <si>
    <t>ORD0006</t>
  </si>
  <si>
    <t>2023-10-08</t>
  </si>
  <si>
    <t>ORD0007</t>
  </si>
  <si>
    <t>2023-12-29</t>
  </si>
  <si>
    <t>ORD0008</t>
  </si>
  <si>
    <t>2023-03-08</t>
  </si>
  <si>
    <t>ORD0009</t>
  </si>
  <si>
    <t>2023-08-05</t>
  </si>
  <si>
    <t>ORD0010</t>
  </si>
  <si>
    <t>2023-08-30</t>
  </si>
  <si>
    <t>North</t>
  </si>
  <si>
    <t>ORD0011</t>
  </si>
  <si>
    <t>2023-03-21</t>
  </si>
  <si>
    <t>ORD0012</t>
  </si>
  <si>
    <t>2023-01-24</t>
  </si>
  <si>
    <t>ORD0013</t>
  </si>
  <si>
    <t>2023-04-14</t>
  </si>
  <si>
    <t>ORD0014</t>
  </si>
  <si>
    <t>2023-01-12</t>
  </si>
  <si>
    <t>ORD0015</t>
  </si>
  <si>
    <t>2023-11-19</t>
  </si>
  <si>
    <t>ORD0016</t>
  </si>
  <si>
    <t>2023-04-01</t>
  </si>
  <si>
    <t>ORD0017</t>
  </si>
  <si>
    <t>2023-12-27</t>
  </si>
  <si>
    <t>ORD0018</t>
  </si>
  <si>
    <t>2023-03-30</t>
  </si>
  <si>
    <t>ORD0019</t>
  </si>
  <si>
    <t>2023-03-22</t>
  </si>
  <si>
    <t>ORD0020</t>
  </si>
  <si>
    <t>2023-09-07</t>
  </si>
  <si>
    <t>ORD0021</t>
  </si>
  <si>
    <t>2023-08-01</t>
  </si>
  <si>
    <t>ORD0022</t>
  </si>
  <si>
    <t>2023-07-15</t>
  </si>
  <si>
    <t>ORD0023</t>
  </si>
  <si>
    <t>2023-01-23</t>
  </si>
  <si>
    <t>ORD0024</t>
  </si>
  <si>
    <t>2023-08-17</t>
  </si>
  <si>
    <t>ORD0025</t>
  </si>
  <si>
    <t>2023-11-22</t>
  </si>
  <si>
    <t>ORD0026</t>
  </si>
  <si>
    <t>2023-08-21</t>
  </si>
  <si>
    <t>ORD0027</t>
  </si>
  <si>
    <t>2023-02-19</t>
  </si>
  <si>
    <t>ORD0028</t>
  </si>
  <si>
    <t>2023-07-18</t>
  </si>
  <si>
    <t>ORD0029</t>
  </si>
  <si>
    <t>2023-12-20</t>
  </si>
  <si>
    <t>ORD0030</t>
  </si>
  <si>
    <t>2023-06-14</t>
  </si>
  <si>
    <t>ORD0031</t>
  </si>
  <si>
    <t>2023-01-09</t>
  </si>
  <si>
    <t>ORD0032</t>
  </si>
  <si>
    <t>2023-05-14</t>
  </si>
  <si>
    <t>ORD0033</t>
  </si>
  <si>
    <t>ORD0034</t>
  </si>
  <si>
    <t>2023-01-19</t>
  </si>
  <si>
    <t>ORD0035</t>
  </si>
  <si>
    <t>2023-03-14</t>
  </si>
  <si>
    <t>ORD0036</t>
  </si>
  <si>
    <t>2023-10-12</t>
  </si>
  <si>
    <t>ORD0037</t>
  </si>
  <si>
    <t>2023-09-14</t>
  </si>
  <si>
    <t>ORD0038</t>
  </si>
  <si>
    <t>ORD0039</t>
  </si>
  <si>
    <t>ORD0040</t>
  </si>
  <si>
    <t>2023-06-09</t>
  </si>
  <si>
    <t>ORD0041</t>
  </si>
  <si>
    <t>2023-08-02</t>
  </si>
  <si>
    <t>ORD0042</t>
  </si>
  <si>
    <t>ORD0043</t>
  </si>
  <si>
    <t>2023-10-02</t>
  </si>
  <si>
    <t>ORD0044</t>
  </si>
  <si>
    <t>2023-04-03</t>
  </si>
  <si>
    <t>ORD0045</t>
  </si>
  <si>
    <t>2023-08-18</t>
  </si>
  <si>
    <t>ORD0046</t>
  </si>
  <si>
    <t>2023-08-12</t>
  </si>
  <si>
    <t>ORD0047</t>
  </si>
  <si>
    <t>2023-09-17</t>
  </si>
  <si>
    <t>ORD0048</t>
  </si>
  <si>
    <t>2023-06-24</t>
  </si>
  <si>
    <t>ORD0049</t>
  </si>
  <si>
    <t>2023-06-06</t>
  </si>
  <si>
    <t>ORD0050</t>
  </si>
  <si>
    <t>2023-01-17</t>
  </si>
  <si>
    <t>ORD0051</t>
  </si>
  <si>
    <t>2023-06-03</t>
  </si>
  <si>
    <t>ORD0052</t>
  </si>
  <si>
    <t>2023-08-11</t>
  </si>
  <si>
    <t>ORD0053</t>
  </si>
  <si>
    <t>2023-10-03</t>
  </si>
  <si>
    <t>ORD0054</t>
  </si>
  <si>
    <t>2023-04-27</t>
  </si>
  <si>
    <t>ORD0055</t>
  </si>
  <si>
    <t>2023-12-21</t>
  </si>
  <si>
    <t>ORD0056</t>
  </si>
  <si>
    <t>2023-01-26</t>
  </si>
  <si>
    <t>ORD0057</t>
  </si>
  <si>
    <t>2023-08-25</t>
  </si>
  <si>
    <t>ORD0058</t>
  </si>
  <si>
    <t>ORD0059</t>
  </si>
  <si>
    <t>2023-12-02</t>
  </si>
  <si>
    <t>ORD0060</t>
  </si>
  <si>
    <t>2023-04-17</t>
  </si>
  <si>
    <t>ORD0061</t>
  </si>
  <si>
    <t>2023-10-15</t>
  </si>
  <si>
    <t>ORD0062</t>
  </si>
  <si>
    <t>2023-05-10</t>
  </si>
  <si>
    <t>ORD0063</t>
  </si>
  <si>
    <t>2023-02-06</t>
  </si>
  <si>
    <t>ORD0064</t>
  </si>
  <si>
    <t>2023-10-26</t>
  </si>
  <si>
    <t>ORD0065</t>
  </si>
  <si>
    <t>2023-11-04</t>
  </si>
  <si>
    <t>ORD0066</t>
  </si>
  <si>
    <t>2023-06-30</t>
  </si>
  <si>
    <t>ORD0067</t>
  </si>
  <si>
    <t>2023-12-14</t>
  </si>
  <si>
    <t>ORD0068</t>
  </si>
  <si>
    <t>2023-08-04</t>
  </si>
  <si>
    <t>ORD0069</t>
  </si>
  <si>
    <t>ORD0070</t>
  </si>
  <si>
    <t>ORD0071</t>
  </si>
  <si>
    <t>2023-01-16</t>
  </si>
  <si>
    <t>ORD0072</t>
  </si>
  <si>
    <t>2023-11-14</t>
  </si>
  <si>
    <t>ORD0073</t>
  </si>
  <si>
    <t>2023-03-04</t>
  </si>
  <si>
    <t>ORD0074</t>
  </si>
  <si>
    <t>2023-04-26</t>
  </si>
  <si>
    <t>ORD0075</t>
  </si>
  <si>
    <t>ORD0076</t>
  </si>
  <si>
    <t>2023-03-05</t>
  </si>
  <si>
    <t>ORD0077</t>
  </si>
  <si>
    <t>ORD0078</t>
  </si>
  <si>
    <t>2023-09-18</t>
  </si>
  <si>
    <t>ORD0079</t>
  </si>
  <si>
    <t>2023-11-11</t>
  </si>
  <si>
    <t>ORD0080</t>
  </si>
  <si>
    <t>2023-11-17</t>
  </si>
  <si>
    <t>ORD0081</t>
  </si>
  <si>
    <t>2023-03-01</t>
  </si>
  <si>
    <t>ORD0082</t>
  </si>
  <si>
    <t>2023-01-11</t>
  </si>
  <si>
    <t>ORD0083</t>
  </si>
  <si>
    <t>2023-01-18</t>
  </si>
  <si>
    <t>ORD0084</t>
  </si>
  <si>
    <t>ORD0085</t>
  </si>
  <si>
    <t>2023-10-23</t>
  </si>
  <si>
    <t>ORD0086</t>
  </si>
  <si>
    <t>2023-03-23</t>
  </si>
  <si>
    <t>ORD0087</t>
  </si>
  <si>
    <t>2023-08-07</t>
  </si>
  <si>
    <t>ORD0088</t>
  </si>
  <si>
    <t>2023-01-06</t>
  </si>
  <si>
    <t>ORD0089</t>
  </si>
  <si>
    <t>2023-04-08</t>
  </si>
  <si>
    <t>ORD0090</t>
  </si>
  <si>
    <t>2023-01-10</t>
  </si>
  <si>
    <t>ORD0091</t>
  </si>
  <si>
    <t>2023-08-19</t>
  </si>
  <si>
    <t>ORD0092</t>
  </si>
  <si>
    <t>2023-12-24</t>
  </si>
  <si>
    <t>ORD0093</t>
  </si>
  <si>
    <t>2023-04-21</t>
  </si>
  <si>
    <t>ORD0094</t>
  </si>
  <si>
    <t>2023-05-31</t>
  </si>
  <si>
    <t>ORD0095</t>
  </si>
  <si>
    <t>2023-01-21</t>
  </si>
  <si>
    <t>ORD0096</t>
  </si>
  <si>
    <t>ORD0097</t>
  </si>
  <si>
    <t>ORD0098</t>
  </si>
  <si>
    <t>2023-10-24</t>
  </si>
  <si>
    <t>ORD0099</t>
  </si>
  <si>
    <t>2023-04-13</t>
  </si>
  <si>
    <t>ORD0100</t>
  </si>
  <si>
    <t>2023-01-15</t>
  </si>
  <si>
    <t>ORD0101</t>
  </si>
  <si>
    <t>2023-08-31</t>
  </si>
  <si>
    <t>ORD0102</t>
  </si>
  <si>
    <t>2023-05-02</t>
  </si>
  <si>
    <t>ORD0103</t>
  </si>
  <si>
    <t>2023-02-20</t>
  </si>
  <si>
    <t>ORD0104</t>
  </si>
  <si>
    <t>ORD0105</t>
  </si>
  <si>
    <t>2023-01-04</t>
  </si>
  <si>
    <t>ORD0106</t>
  </si>
  <si>
    <t>ORD0107</t>
  </si>
  <si>
    <t>2023-12-18</t>
  </si>
  <si>
    <t>ORD0108</t>
  </si>
  <si>
    <t>2023-07-12</t>
  </si>
  <si>
    <t>ORD0109</t>
  </si>
  <si>
    <t>2023-04-23</t>
  </si>
  <si>
    <t>ORD0110</t>
  </si>
  <si>
    <t>2023-04-16</t>
  </si>
  <si>
    <t>ORD0111</t>
  </si>
  <si>
    <t>2023-01-07</t>
  </si>
  <si>
    <t>ORD0112</t>
  </si>
  <si>
    <t>2023-05-26</t>
  </si>
  <si>
    <t>ORD0113</t>
  </si>
  <si>
    <t>2023-09-02</t>
  </si>
  <si>
    <t>ORD0114</t>
  </si>
  <si>
    <t>2023-09-08</t>
  </si>
  <si>
    <t>ORD0115</t>
  </si>
  <si>
    <t>ORD0116</t>
  </si>
  <si>
    <t>ORD0117</t>
  </si>
  <si>
    <t>2023-11-30</t>
  </si>
  <si>
    <t>ORD0118</t>
  </si>
  <si>
    <t>2023-03-11</t>
  </si>
  <si>
    <t>ORD0119</t>
  </si>
  <si>
    <t>2023-05-24</t>
  </si>
  <si>
    <t>ORD0120</t>
  </si>
  <si>
    <t>2023-11-05</t>
  </si>
  <si>
    <t>ORD0121</t>
  </si>
  <si>
    <t>ORD0122</t>
  </si>
  <si>
    <t>2023-12-17</t>
  </si>
  <si>
    <t>ORD0123</t>
  </si>
  <si>
    <t>ORD0124</t>
  </si>
  <si>
    <t>2023-01-05</t>
  </si>
  <si>
    <t>ORD0125</t>
  </si>
  <si>
    <t>ORD0126</t>
  </si>
  <si>
    <t>2023-04-20</t>
  </si>
  <si>
    <t>ORD0127</t>
  </si>
  <si>
    <t>2023-08-28</t>
  </si>
  <si>
    <t>ORD0128</t>
  </si>
  <si>
    <t>2023-10-06</t>
  </si>
  <si>
    <t>ORD0129</t>
  </si>
  <si>
    <t>2023-11-16</t>
  </si>
  <si>
    <t>ORD0130</t>
  </si>
  <si>
    <t>ORD0131</t>
  </si>
  <si>
    <t>2023-02-26</t>
  </si>
  <si>
    <t>ORD0132</t>
  </si>
  <si>
    <t>2023-09-23</t>
  </si>
  <si>
    <t>ORD0133</t>
  </si>
  <si>
    <t>2023-11-24</t>
  </si>
  <si>
    <t>ORD0134</t>
  </si>
  <si>
    <t>2023-03-13</t>
  </si>
  <si>
    <t>ORD0135</t>
  </si>
  <si>
    <t>2023-08-26</t>
  </si>
  <si>
    <t>ORD0136</t>
  </si>
  <si>
    <t>2023-12-19</t>
  </si>
  <si>
    <t>ORD0137</t>
  </si>
  <si>
    <t>ORD0138</t>
  </si>
  <si>
    <t>ORD0139</t>
  </si>
  <si>
    <t>2023-02-05</t>
  </si>
  <si>
    <t>ORD0140</t>
  </si>
  <si>
    <t>2023-09-12</t>
  </si>
  <si>
    <t>ORD0141</t>
  </si>
  <si>
    <t>2023-05-17</t>
  </si>
  <si>
    <t>ORD0142</t>
  </si>
  <si>
    <t>2023-09-13</t>
  </si>
  <si>
    <t>ORD0143</t>
  </si>
  <si>
    <t>2023-04-04</t>
  </si>
  <si>
    <t>ORD0144</t>
  </si>
  <si>
    <t>ORD0145</t>
  </si>
  <si>
    <t>2023-03-03</t>
  </si>
  <si>
    <t>ORD0146</t>
  </si>
  <si>
    <t>2023-07-04</t>
  </si>
  <si>
    <t>ORD0147</t>
  </si>
  <si>
    <t>2023-12-03</t>
  </si>
  <si>
    <t>ORD0148</t>
  </si>
  <si>
    <t>2023-11-13</t>
  </si>
  <si>
    <t>ORD0149</t>
  </si>
  <si>
    <t>2023-03-29</t>
  </si>
  <si>
    <t>ORD0150</t>
  </si>
  <si>
    <t>2023-05-28</t>
  </si>
  <si>
    <t>ORD0151</t>
  </si>
  <si>
    <t>2023-02-23</t>
  </si>
  <si>
    <t>ORD0152</t>
  </si>
  <si>
    <t>2023-02-13</t>
  </si>
  <si>
    <t>ORD0153</t>
  </si>
  <si>
    <t>2023-10-22</t>
  </si>
  <si>
    <t>ORD0154</t>
  </si>
  <si>
    <t>ORD0155</t>
  </si>
  <si>
    <t>2023-11-26</t>
  </si>
  <si>
    <t>ORD0156</t>
  </si>
  <si>
    <t>2023-11-20</t>
  </si>
  <si>
    <t>ORD0157</t>
  </si>
  <si>
    <t>2023-04-22</t>
  </si>
  <si>
    <t>ORD0158</t>
  </si>
  <si>
    <t>2023-07-29</t>
  </si>
  <si>
    <t>ORD0159</t>
  </si>
  <si>
    <t>2023-12-08</t>
  </si>
  <si>
    <t>ORD0160</t>
  </si>
  <si>
    <t>ORD0161</t>
  </si>
  <si>
    <t>ORD0162</t>
  </si>
  <si>
    <t>2023-03-07</t>
  </si>
  <si>
    <t>ORD0163</t>
  </si>
  <si>
    <t>ORD0164</t>
  </si>
  <si>
    <t>ORD0165</t>
  </si>
  <si>
    <t>2023-04-29</t>
  </si>
  <si>
    <t>ORD0166</t>
  </si>
  <si>
    <t>ORD0167</t>
  </si>
  <si>
    <t>ORD0168</t>
  </si>
  <si>
    <t>2023-05-07</t>
  </si>
  <si>
    <t>ORD0169</t>
  </si>
  <si>
    <t>ORD0170</t>
  </si>
  <si>
    <t>2023-10-13</t>
  </si>
  <si>
    <t>ORD0171</t>
  </si>
  <si>
    <t>ORD0172</t>
  </si>
  <si>
    <t>ORD0173</t>
  </si>
  <si>
    <t>2023-06-25</t>
  </si>
  <si>
    <t>ORD0174</t>
  </si>
  <si>
    <t>2023-09-22</t>
  </si>
  <si>
    <t>ORD0175</t>
  </si>
  <si>
    <t>2023-07-24</t>
  </si>
  <si>
    <t>ORD0176</t>
  </si>
  <si>
    <t>2023-02-16</t>
  </si>
  <si>
    <t>ORD0177</t>
  </si>
  <si>
    <t>ORD0178</t>
  </si>
  <si>
    <t>2023-02-04</t>
  </si>
  <si>
    <t>ORD0179</t>
  </si>
  <si>
    <t>ORD0180</t>
  </si>
  <si>
    <t>ORD0181</t>
  </si>
  <si>
    <t>2023-10-28</t>
  </si>
  <si>
    <t>ORD0182</t>
  </si>
  <si>
    <t>2023-07-11</t>
  </si>
  <si>
    <t>ORD0183</t>
  </si>
  <si>
    <t>ORD0184</t>
  </si>
  <si>
    <t>2023-10-25</t>
  </si>
  <si>
    <t>ORD0185</t>
  </si>
  <si>
    <t>ORD0186</t>
  </si>
  <si>
    <t>2023-02-09</t>
  </si>
  <si>
    <t>ORD0187</t>
  </si>
  <si>
    <t>2023-06-16</t>
  </si>
  <si>
    <t>ORD0188</t>
  </si>
  <si>
    <t>2023-07-20</t>
  </si>
  <si>
    <t>ORD0189</t>
  </si>
  <si>
    <t>2023-05-03</t>
  </si>
  <si>
    <t>ORD0190</t>
  </si>
  <si>
    <t>2023-06-13</t>
  </si>
  <si>
    <t>ORD0191</t>
  </si>
  <si>
    <t>2023-07-01</t>
  </si>
  <si>
    <t>ORD0192</t>
  </si>
  <si>
    <t>2023-03-27</t>
  </si>
  <si>
    <t>ORD0193</t>
  </si>
  <si>
    <t>ORD0194</t>
  </si>
  <si>
    <t>2023-07-06</t>
  </si>
  <si>
    <t>ORD0195</t>
  </si>
  <si>
    <t>2023-01-25</t>
  </si>
  <si>
    <t>ORD0196</t>
  </si>
  <si>
    <t>ORD0197</t>
  </si>
  <si>
    <t>2023-08-08</t>
  </si>
  <si>
    <t>ORD0198</t>
  </si>
  <si>
    <t>2023-02-28</t>
  </si>
  <si>
    <t>ORD0199</t>
  </si>
  <si>
    <t>2023-12-31</t>
  </si>
  <si>
    <t>ORD0200</t>
  </si>
  <si>
    <t>Row Labels</t>
  </si>
  <si>
    <t>Grand Total</t>
  </si>
  <si>
    <t>Sum of Sales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</si>
  <si>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</si>
  <si>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</si>
  <si>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</si>
  <si>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</si>
  <si>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</si>
  <si>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</si>
  <si>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</si>
  <si>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</si>
  <si>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</si>
  <si>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</si>
  <si>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</si>
  <si>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</si>
  <si>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</si>
  <si>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Region</t>
  </si>
  <si>
    <t>Top Category</t>
  </si>
  <si>
    <t>Total Sales</t>
  </si>
  <si>
    <t xml:space="preserve">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</si>
</sst>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0" borderId="0" xfId="0" applyFont="1" applyBorder="1"/>
    <xf numFmtId="3" fontId="1" fillId="0" borderId="2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[sales_dashboard.xlsx]Region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Analysis'!$A$2:$A$6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Analysis'!$B$2:$B$6</c:f>
              <c:numCache>
                <c:formatCode>General</c:formatCode>
                <c:ptCount val="4"/>
                <c:pt idx="0">
                  <c:v>126622.00000000001</c:v>
                </c:pt>
                <c:pt idx="1">
                  <c:v>145054.90000000002</c:v>
                </c:pt>
                <c:pt idx="2">
                  <c:v>121819.68</c:v>
                </c:pt>
                <c:pt idx="3">
                  <c:v>140440.91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4914384"/>
        <c:axId val="144907328"/>
      </c:barChart>
      <c:catAx>
        <c:axId val="14491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7328"/>
        <c:crosses val="autoZero"/>
        <c:auto val="1"/>
        <c:lblAlgn val="ctr"/>
        <c:lblOffset val="100"/>
        <c:noMultiLvlLbl val="0"/>
      </c:catAx>
      <c:valAx>
        <c:axId val="14490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[sales_dashboard.xlsx]Category Analysis!PivotTable2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Analysis'!$A$2:$A$5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Analysis'!$B$2:$B$5</c:f>
              <c:numCache>
                <c:formatCode>General</c:formatCode>
                <c:ptCount val="3"/>
                <c:pt idx="0">
                  <c:v>193597.81999999992</c:v>
                </c:pt>
                <c:pt idx="1">
                  <c:v>153455.43999999997</c:v>
                </c:pt>
                <c:pt idx="2">
                  <c:v>186884.22999999995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04747088"/>
        <c:axId val="504743560"/>
      </c:barChart>
      <c:catAx>
        <c:axId val="50474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743560"/>
        <c:crosses val="autoZero"/>
        <c:auto val="1"/>
        <c:lblAlgn val="ctr"/>
        <c:lblOffset val="100"/>
        <c:noMultiLvlLbl val="0"/>
      </c:catAx>
      <c:valAx>
        <c:axId val="5047435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474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152400" dist="317500" dir="5400000" sx="90000" sy="-19000" rotWithShape="0">
        <a:prstClr val="black">
          <a:alpha val="15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[sales_dashboard.xlsx]Monthly Trend!PivotTable3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  <c:pivotFmt>
        <c:idx val="5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>
        <c:manualLayout>
          <c:layoutTarget val="inner"/>
          <c:xMode val="edge"/>
          <c:yMode val="edge"/>
          <c:x val="0.12575768454475106"/>
          <c:y val="0.28744932925051037"/>
          <c:w val="0.73488021444127993"/>
          <c:h val="0.52644757946923304"/>
        </c:manualLayout>
      </c:layout>
      <c:lineChart>
        <c:grouping val="standard"/>
        <c:varyColors val="0"/>
        <c:ser>
          <c:idx val="0"/>
          <c:order val="0"/>
          <c:tx>
            <c:strRef>
              <c:f>'Monthly Trend'!$I$61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'Monthly Trend'!$H$62:$H$74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Trend'!$I$62:$I$74</c:f>
              <c:numCache>
                <c:formatCode>General</c:formatCode>
                <c:ptCount val="12"/>
                <c:pt idx="0">
                  <c:v>60954.960000000006</c:v>
                </c:pt>
                <c:pt idx="1">
                  <c:v>37643.01</c:v>
                </c:pt>
                <c:pt idx="2">
                  <c:v>59441.79</c:v>
                </c:pt>
                <c:pt idx="3">
                  <c:v>45887.64</c:v>
                </c:pt>
                <c:pt idx="4">
                  <c:v>38082.520000000004</c:v>
                </c:pt>
                <c:pt idx="5">
                  <c:v>31513.000000000004</c:v>
                </c:pt>
                <c:pt idx="6">
                  <c:v>32164.09</c:v>
                </c:pt>
                <c:pt idx="7">
                  <c:v>55129.770000000004</c:v>
                </c:pt>
                <c:pt idx="8">
                  <c:v>28344.760000000002</c:v>
                </c:pt>
                <c:pt idx="9">
                  <c:v>44461.170000000006</c:v>
                </c:pt>
                <c:pt idx="10">
                  <c:v>54709.97</c:v>
                </c:pt>
                <c:pt idx="11">
                  <c:v>45604.80999999999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763160"/>
        <c:axId val="504765120"/>
      </c:lineChart>
      <c:catAx>
        <c:axId val="50476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765120"/>
        <c:crosses val="autoZero"/>
        <c:auto val="1"/>
        <c:lblAlgn val="ctr"/>
        <c:lblOffset val="100"/>
        <c:noMultiLvlLbl val="0"/>
      </c:catAx>
      <c:valAx>
        <c:axId val="50476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76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152400" dist="317500" dir="5400000" sx="90000" sy="-19000" rotWithShape="0">
        <a:prstClr val="black">
          <a:alpha val="15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[sales_dashboard.xlsx]Category Analysis!PivotTable2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Analysis'!$A$2:$A$5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Analysis'!$B$2:$B$5</c:f>
              <c:numCache>
                <c:formatCode>General</c:formatCode>
                <c:ptCount val="3"/>
                <c:pt idx="0">
                  <c:v>193597.81999999992</c:v>
                </c:pt>
                <c:pt idx="1">
                  <c:v>153455.43999999997</c:v>
                </c:pt>
                <c:pt idx="2">
                  <c:v>186884.22999999995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06778696"/>
        <c:axId val="506775560"/>
      </c:barChart>
      <c:catAx>
        <c:axId val="506778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75560"/>
        <c:crosses val="autoZero"/>
        <c:auto val="1"/>
        <c:lblAlgn val="ctr"/>
        <c:lblOffset val="100"/>
        <c:noMultiLvlLbl val="0"/>
      </c:catAx>
      <c:valAx>
        <c:axId val="5067755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677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[sales_dashboard.xlsx]Monthly Trend!PivotTable3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ln w="34925" cap="rnd">
            <a:solidFill>
              <a:schemeClr val="accent6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59900793650794"/>
          <c:y val="0.27736984126984127"/>
          <c:w val="0.73488021444127993"/>
          <c:h val="0.52644757946923304"/>
        </c:manualLayout>
      </c:layout>
      <c:lineChart>
        <c:grouping val="standard"/>
        <c:varyColors val="0"/>
        <c:ser>
          <c:idx val="0"/>
          <c:order val="0"/>
          <c:tx>
            <c:strRef>
              <c:f>'Monthly Trend'!$I$61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'Monthly Trend'!$H$62:$H$74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Trend'!$I$62:$I$74</c:f>
              <c:numCache>
                <c:formatCode>General</c:formatCode>
                <c:ptCount val="12"/>
                <c:pt idx="0">
                  <c:v>60954.960000000006</c:v>
                </c:pt>
                <c:pt idx="1">
                  <c:v>37643.01</c:v>
                </c:pt>
                <c:pt idx="2">
                  <c:v>59441.79</c:v>
                </c:pt>
                <c:pt idx="3">
                  <c:v>45887.64</c:v>
                </c:pt>
                <c:pt idx="4">
                  <c:v>38082.520000000004</c:v>
                </c:pt>
                <c:pt idx="5">
                  <c:v>31513.000000000004</c:v>
                </c:pt>
                <c:pt idx="6">
                  <c:v>32164.09</c:v>
                </c:pt>
                <c:pt idx="7">
                  <c:v>55129.770000000004</c:v>
                </c:pt>
                <c:pt idx="8">
                  <c:v>28344.760000000002</c:v>
                </c:pt>
                <c:pt idx="9">
                  <c:v>44461.170000000006</c:v>
                </c:pt>
                <c:pt idx="10">
                  <c:v>54709.97</c:v>
                </c:pt>
                <c:pt idx="11">
                  <c:v>45604.80999999999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791632"/>
        <c:axId val="506783008"/>
      </c:lineChart>
      <c:catAx>
        <c:axId val="50679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83008"/>
        <c:crosses val="autoZero"/>
        <c:auto val="1"/>
        <c:lblAlgn val="ctr"/>
        <c:lblOffset val="100"/>
        <c:noMultiLvlLbl val="0"/>
      </c:catAx>
      <c:valAx>
        <c:axId val="50678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9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152400" dist="317500" dir="5400000" sx="90000" sy="-19000" rotWithShape="0">
        <a:prstClr val="black">
          <a:alpha val="15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[sales_dashboard.xlsx]Region Analysis!PivotTable1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Analysis'!$A$2:$A$6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Analysis'!$B$2:$B$6</c:f>
              <c:numCache>
                <c:formatCode>General</c:formatCode>
                <c:ptCount val="4"/>
                <c:pt idx="0">
                  <c:v>126622.00000000001</c:v>
                </c:pt>
                <c:pt idx="1">
                  <c:v>145054.90000000002</c:v>
                </c:pt>
                <c:pt idx="2">
                  <c:v>121819.68</c:v>
                </c:pt>
                <c:pt idx="3">
                  <c:v>140440.91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56470600"/>
        <c:axId val="456473736"/>
      </c:barChart>
      <c:catAx>
        <c:axId val="45647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73736"/>
        <c:crosses val="autoZero"/>
        <c:auto val="1"/>
        <c:lblAlgn val="ctr"/>
        <c:lblOffset val="100"/>
        <c:noMultiLvlLbl val="0"/>
      </c:catAx>
      <c:valAx>
        <c:axId val="45647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7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0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320040</xdr:colOff>
      <xdr:row>18</xdr:row>
      <xdr:rowOff>45720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579120</xdr:colOff>
      <xdr:row>39</xdr:row>
      <xdr:rowOff>175260</xdr:rowOff>
    </xdr:from>
    <xdr:to>
      <xdr:col>14</xdr:col>
      <xdr:colOff>300360</xdr:colOff>
      <xdr:row>53</xdr:row>
      <xdr:rowOff>134940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22860</xdr:rowOff>
    </xdr:from>
    <xdr:to>
      <xdr:col>20</xdr:col>
      <xdr:colOff>30480</xdr:colOff>
      <xdr:row>13</xdr:row>
      <xdr:rowOff>180660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601980</xdr:colOff>
      <xdr:row>17</xdr:row>
      <xdr:rowOff>7620</xdr:rowOff>
    </xdr:from>
    <xdr:to>
      <xdr:col>16</xdr:col>
      <xdr:colOff>155580</xdr:colOff>
      <xdr:row>30</xdr:row>
      <xdr:rowOff>150180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4</xdr:row>
      <xdr:rowOff>160020</xdr:rowOff>
    </xdr:from>
    <xdr:to>
      <xdr:col>7</xdr:col>
      <xdr:colOff>312420</xdr:colOff>
      <xdr:row>17</xdr:row>
      <xdr:rowOff>160020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36.955151967595" createdVersion="5" refreshedVersion="5" minRefreshableVersion="3" recordCount="200">
  <cacheSource type="worksheet">
    <worksheetSource ref="A1:F201" sheet="Monthly Trend"/>
  </cacheSource>
  <cacheFields count="6">
    <cacheField name="Order ID" numFmtId="0">
      <sharedItems/>
    </cacheField>
    <cacheField name="Order Date" numFmtId="0">
      <sharedItems/>
    </cacheField>
    <cacheField name="Region" numFmtId="0">
      <sharedItems/>
    </cacheField>
    <cacheField name="Category" numFmtId="0">
      <sharedItems/>
    </cacheField>
    <cacheField name="Sales" numFmtId="0">
      <sharedItems containsSemiMixedTypes="0" containsString="0" containsNumber="1" minValue="104.09" maxValue="4997.79"/>
    </cacheField>
    <cacheField name="Month" numFmtId="0">
      <sharedItems count="12">
        <s v="Jul"/>
        <s v="Feb"/>
        <s v="May"/>
        <s v="Nov"/>
        <s v="Oct"/>
        <s v="Dec"/>
        <s v="Mar"/>
        <s v="Aug"/>
        <s v="Jan"/>
        <s v="Apr"/>
        <s v="Sep"/>
        <s v="Ju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136.955242013886" createdVersion="5" refreshedVersion="5" minRefreshableVersion="3" recordCount="201">
  <cacheSource type="worksheet">
    <worksheetSource ref="A1:E1048576" sheet="Monthly Trend"/>
  </cacheSource>
  <cacheFields count="5">
    <cacheField name="Order ID" numFmtId="0">
      <sharedItems containsBlank="1"/>
    </cacheField>
    <cacheField name="Order Date" numFmtId="0">
      <sharedItems containsBlank="1"/>
    </cacheField>
    <cacheField name="Region" numFmtId="0">
      <sharedItems containsBlank="1"/>
    </cacheField>
    <cacheField name="Category" numFmtId="0">
      <sharedItems containsBlank="1" count="4">
        <s v="Technology"/>
        <s v="Office Supplies"/>
        <s v="Furniture"/>
        <m/>
      </sharedItems>
    </cacheField>
    <cacheField name="Sales" numFmtId="0">
      <sharedItems containsString="0" containsBlank="1" containsNumber="1" minValue="104.09" maxValue="4997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6136.955284374999" createdVersion="5" refreshedVersion="5" minRefreshableVersion="3" recordCount="200">
  <cacheSource type="worksheet">
    <worksheetSource ref="A1:E201" sheet="Monthly Trend"/>
  </cacheSource>
  <cacheFields count="5">
    <cacheField name="Order ID" numFmtId="0">
      <sharedItems/>
    </cacheField>
    <cacheField name="Order Date" numFmtId="0">
      <sharedItems/>
    </cacheField>
    <cacheField name="Region" numFmtId="0">
      <sharedItems count="4">
        <s v="East"/>
        <s v="South"/>
        <s v="West"/>
        <s v="North"/>
      </sharedItems>
    </cacheField>
    <cacheField name="Category" numFmtId="0">
      <sharedItems/>
    </cacheField>
    <cacheField name="Sales" numFmtId="0">
      <sharedItems containsSemiMixedTypes="0" containsString="0" containsNumber="1" minValue="104.09" maxValue="4997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s v="ORD0001"/>
    <s v="2023-07-13"/>
    <s v="East"/>
    <s v="Technology"/>
    <n v="3654.4"/>
    <x v="0"/>
  </r>
  <r>
    <s v="ORD0002"/>
    <s v="2023-02-22"/>
    <s v="South"/>
    <s v="Office Supplies"/>
    <n v="402.16"/>
    <x v="1"/>
  </r>
  <r>
    <s v="ORD0003"/>
    <s v="2023-05-13"/>
    <s v="South"/>
    <s v="Furniture"/>
    <n v="2459.02"/>
    <x v="2"/>
  </r>
  <r>
    <s v="ORD0004"/>
    <s v="2023-02-14"/>
    <s v="West"/>
    <s v="Furniture"/>
    <n v="2617.87"/>
    <x v="1"/>
  </r>
  <r>
    <s v="ORD0005"/>
    <s v="2023-11-21"/>
    <s v="West"/>
    <s v="Technology"/>
    <n v="3611.09"/>
    <x v="3"/>
  </r>
  <r>
    <s v="ORD0006"/>
    <s v="2023-10-08"/>
    <s v="South"/>
    <s v="Technology"/>
    <n v="4609.46"/>
    <x v="4"/>
  </r>
  <r>
    <s v="ORD0007"/>
    <s v="2023-12-29"/>
    <s v="South"/>
    <s v="Furniture"/>
    <n v="3823.83"/>
    <x v="5"/>
  </r>
  <r>
    <s v="ORD0008"/>
    <s v="2023-03-08"/>
    <s v="East"/>
    <s v="Technology"/>
    <n v="4418.12"/>
    <x v="6"/>
  </r>
  <r>
    <s v="ORD0009"/>
    <s v="2023-08-05"/>
    <s v="East"/>
    <s v="Technology"/>
    <n v="4700.83"/>
    <x v="7"/>
  </r>
  <r>
    <s v="ORD0010"/>
    <s v="2023-08-30"/>
    <s v="North"/>
    <s v="Office Supplies"/>
    <n v="262.41000000000003"/>
    <x v="7"/>
  </r>
  <r>
    <s v="ORD0011"/>
    <s v="2023-03-21"/>
    <s v="South"/>
    <s v="Furniture"/>
    <n v="4418.79"/>
    <x v="6"/>
  </r>
  <r>
    <s v="ORD0012"/>
    <s v="2023-01-24"/>
    <s v="East"/>
    <s v="Furniture"/>
    <n v="114.8"/>
    <x v="8"/>
  </r>
  <r>
    <s v="ORD0013"/>
    <s v="2023-04-14"/>
    <s v="South"/>
    <s v="Office Supplies"/>
    <n v="1674.64"/>
    <x v="9"/>
  </r>
  <r>
    <s v="ORD0014"/>
    <s v="2023-01-12"/>
    <s v="North"/>
    <s v="Furniture"/>
    <n v="2603.2600000000002"/>
    <x v="8"/>
  </r>
  <r>
    <s v="ORD0015"/>
    <s v="2023-11-19"/>
    <s v="North"/>
    <s v="Office Supplies"/>
    <n v="3461.42"/>
    <x v="3"/>
  </r>
  <r>
    <s v="ORD0016"/>
    <s v="2023-04-01"/>
    <s v="South"/>
    <s v="Furniture"/>
    <n v="3323.45"/>
    <x v="9"/>
  </r>
  <r>
    <s v="ORD0017"/>
    <s v="2023-12-27"/>
    <s v="East"/>
    <s v="Furniture"/>
    <n v="3839.91"/>
    <x v="5"/>
  </r>
  <r>
    <s v="ORD0018"/>
    <s v="2023-03-30"/>
    <s v="North"/>
    <s v="Furniture"/>
    <n v="4997.79"/>
    <x v="6"/>
  </r>
  <r>
    <s v="ORD0019"/>
    <s v="2023-03-22"/>
    <s v="West"/>
    <s v="Furniture"/>
    <n v="3138.79"/>
    <x v="6"/>
  </r>
  <r>
    <s v="ORD0020"/>
    <s v="2023-09-07"/>
    <s v="South"/>
    <s v="Office Supplies"/>
    <n v="1605.37"/>
    <x v="10"/>
  </r>
  <r>
    <s v="ORD0021"/>
    <s v="2023-08-01"/>
    <s v="North"/>
    <s v="Office Supplies"/>
    <n v="988.52"/>
    <x v="7"/>
  </r>
  <r>
    <s v="ORD0022"/>
    <s v="2023-07-15"/>
    <s v="North"/>
    <s v="Furniture"/>
    <n v="4115.0200000000004"/>
    <x v="0"/>
  </r>
  <r>
    <s v="ORD0023"/>
    <s v="2023-01-23"/>
    <s v="North"/>
    <s v="Technology"/>
    <n v="420.16"/>
    <x v="8"/>
  </r>
  <r>
    <s v="ORD0024"/>
    <s v="2023-08-17"/>
    <s v="East"/>
    <s v="Office Supplies"/>
    <n v="4609.4399999999996"/>
    <x v="7"/>
  </r>
  <r>
    <s v="ORD0025"/>
    <s v="2023-11-22"/>
    <s v="East"/>
    <s v="Technology"/>
    <n v="1099.25"/>
    <x v="3"/>
  </r>
  <r>
    <s v="ORD0026"/>
    <s v="2023-08-21"/>
    <s v="North"/>
    <s v="Furniture"/>
    <n v="4516.07"/>
    <x v="7"/>
  </r>
  <r>
    <s v="ORD0027"/>
    <s v="2023-02-19"/>
    <s v="West"/>
    <s v="Office Supplies"/>
    <n v="852.21"/>
    <x v="1"/>
  </r>
  <r>
    <s v="ORD0028"/>
    <s v="2023-07-18"/>
    <s v="South"/>
    <s v="Furniture"/>
    <n v="1831.32"/>
    <x v="0"/>
  </r>
  <r>
    <s v="ORD0029"/>
    <s v="2023-12-20"/>
    <s v="East"/>
    <s v="Technology"/>
    <n v="2226.9"/>
    <x v="5"/>
  </r>
  <r>
    <s v="ORD0030"/>
    <s v="2023-06-14"/>
    <s v="East"/>
    <s v="Furniture"/>
    <n v="3160.3"/>
    <x v="11"/>
  </r>
  <r>
    <s v="ORD0031"/>
    <s v="2023-01-09"/>
    <s v="South"/>
    <s v="Technology"/>
    <n v="1118.32"/>
    <x v="8"/>
  </r>
  <r>
    <s v="ORD0032"/>
    <s v="2023-05-14"/>
    <s v="West"/>
    <s v="Office Supplies"/>
    <n v="3743.41"/>
    <x v="2"/>
  </r>
  <r>
    <s v="ORD0033"/>
    <s v="2023-01-09"/>
    <s v="East"/>
    <s v="Furniture"/>
    <n v="4331.97"/>
    <x v="8"/>
  </r>
  <r>
    <s v="ORD0034"/>
    <s v="2023-01-19"/>
    <s v="South"/>
    <s v="Technology"/>
    <n v="4987.4399999999996"/>
    <x v="8"/>
  </r>
  <r>
    <s v="ORD0035"/>
    <s v="2023-03-14"/>
    <s v="North"/>
    <s v="Office Supplies"/>
    <n v="1629.53"/>
    <x v="6"/>
  </r>
  <r>
    <s v="ORD0036"/>
    <s v="2023-10-12"/>
    <s v="South"/>
    <s v="Office Supplies"/>
    <n v="2388.35"/>
    <x v="4"/>
  </r>
  <r>
    <s v="ORD0037"/>
    <s v="2023-09-14"/>
    <s v="South"/>
    <s v="Technology"/>
    <n v="1735.27"/>
    <x v="10"/>
  </r>
  <r>
    <s v="ORD0038"/>
    <s v="2023-02-14"/>
    <s v="West"/>
    <s v="Technology"/>
    <n v="4299.5600000000004"/>
    <x v="1"/>
  </r>
  <r>
    <s v="ORD0039"/>
    <s v="2023-03-22"/>
    <s v="West"/>
    <s v="Office Supplies"/>
    <n v="1506.76"/>
    <x v="6"/>
  </r>
  <r>
    <s v="ORD0040"/>
    <s v="2023-06-09"/>
    <s v="East"/>
    <s v="Furniture"/>
    <n v="2512.48"/>
    <x v="11"/>
  </r>
  <r>
    <s v="ORD0041"/>
    <s v="2023-08-02"/>
    <s v="West"/>
    <s v="Furniture"/>
    <n v="3963.3"/>
    <x v="7"/>
  </r>
  <r>
    <s v="ORD0042"/>
    <s v="2023-08-02"/>
    <s v="West"/>
    <s v="Office Supplies"/>
    <n v="2536.48"/>
    <x v="7"/>
  </r>
  <r>
    <s v="ORD0043"/>
    <s v="2023-10-02"/>
    <s v="West"/>
    <s v="Technology"/>
    <n v="4209.05"/>
    <x v="4"/>
  </r>
  <r>
    <s v="ORD0044"/>
    <s v="2023-04-03"/>
    <s v="East"/>
    <s v="Office Supplies"/>
    <n v="2671.53"/>
    <x v="9"/>
  </r>
  <r>
    <s v="ORD0045"/>
    <s v="2023-08-18"/>
    <s v="East"/>
    <s v="Technology"/>
    <n v="2097.58"/>
    <x v="7"/>
  </r>
  <r>
    <s v="ORD0046"/>
    <s v="2023-08-12"/>
    <s v="South"/>
    <s v="Technology"/>
    <n v="614.91999999999996"/>
    <x v="7"/>
  </r>
  <r>
    <s v="ORD0047"/>
    <s v="2023-09-17"/>
    <s v="South"/>
    <s v="Technology"/>
    <n v="2773.68"/>
    <x v="10"/>
  </r>
  <r>
    <s v="ORD0048"/>
    <s v="2023-06-24"/>
    <s v="East"/>
    <s v="Technology"/>
    <n v="104.09"/>
    <x v="11"/>
  </r>
  <r>
    <s v="ORD0049"/>
    <s v="2023-06-06"/>
    <s v="North"/>
    <s v="Office Supplies"/>
    <n v="3206.87"/>
    <x v="11"/>
  </r>
  <r>
    <s v="ORD0050"/>
    <s v="2023-01-17"/>
    <s v="East"/>
    <s v="Office Supplies"/>
    <n v="2670.54"/>
    <x v="8"/>
  </r>
  <r>
    <s v="ORD0051"/>
    <s v="2023-06-03"/>
    <s v="East"/>
    <s v="Technology"/>
    <n v="3543.74"/>
    <x v="11"/>
  </r>
  <r>
    <s v="ORD0052"/>
    <s v="2023-08-11"/>
    <s v="West"/>
    <s v="Furniture"/>
    <n v="1655.33"/>
    <x v="7"/>
  </r>
  <r>
    <s v="ORD0053"/>
    <s v="2023-10-03"/>
    <s v="West"/>
    <s v="Office Supplies"/>
    <n v="2177.77"/>
    <x v="4"/>
  </r>
  <r>
    <s v="ORD0054"/>
    <s v="2023-04-27"/>
    <s v="East"/>
    <s v="Technology"/>
    <n v="3894.89"/>
    <x v="9"/>
  </r>
  <r>
    <s v="ORD0055"/>
    <s v="2023-12-21"/>
    <s v="North"/>
    <s v="Technology"/>
    <n v="1338.39"/>
    <x v="5"/>
  </r>
  <r>
    <s v="ORD0056"/>
    <s v="2023-01-26"/>
    <s v="North"/>
    <s v="Office Supplies"/>
    <n v="157.12"/>
    <x v="8"/>
  </r>
  <r>
    <s v="ORD0057"/>
    <s v="2023-08-25"/>
    <s v="North"/>
    <s v="Technology"/>
    <n v="3217.29"/>
    <x v="7"/>
  </r>
  <r>
    <s v="ORD0058"/>
    <s v="2023-01-12"/>
    <s v="West"/>
    <s v="Technology"/>
    <n v="4752.6000000000004"/>
    <x v="8"/>
  </r>
  <r>
    <s v="ORD0059"/>
    <s v="2023-12-02"/>
    <s v="East"/>
    <s v="Technology"/>
    <n v="2985.97"/>
    <x v="5"/>
  </r>
  <r>
    <s v="ORD0060"/>
    <s v="2023-04-17"/>
    <s v="South"/>
    <s v="Office Supplies"/>
    <n v="3991.25"/>
    <x v="9"/>
  </r>
  <r>
    <s v="ORD0061"/>
    <s v="2023-10-15"/>
    <s v="South"/>
    <s v="Technology"/>
    <n v="1260.0899999999999"/>
    <x v="4"/>
  </r>
  <r>
    <s v="ORD0062"/>
    <s v="2023-05-10"/>
    <s v="North"/>
    <s v="Office Supplies"/>
    <n v="976.16"/>
    <x v="2"/>
  </r>
  <r>
    <s v="ORD0063"/>
    <s v="2023-02-06"/>
    <s v="North"/>
    <s v="Technology"/>
    <n v="2176.7399999999998"/>
    <x v="1"/>
  </r>
  <r>
    <s v="ORD0064"/>
    <s v="2023-10-26"/>
    <s v="South"/>
    <s v="Office Supplies"/>
    <n v="2269.0300000000002"/>
    <x v="4"/>
  </r>
  <r>
    <s v="ORD0065"/>
    <s v="2023-11-04"/>
    <s v="West"/>
    <s v="Furniture"/>
    <n v="589.41999999999996"/>
    <x v="3"/>
  </r>
  <r>
    <s v="ORD0066"/>
    <s v="2023-06-30"/>
    <s v="South"/>
    <s v="Furniture"/>
    <n v="4151.3999999999996"/>
    <x v="11"/>
  </r>
  <r>
    <s v="ORD0067"/>
    <s v="2023-12-14"/>
    <s v="North"/>
    <s v="Furniture"/>
    <n v="1872.11"/>
    <x v="5"/>
  </r>
  <r>
    <s v="ORD0068"/>
    <s v="2023-08-04"/>
    <s v="North"/>
    <s v="Furniture"/>
    <n v="1333.11"/>
    <x v="7"/>
  </r>
  <r>
    <s v="ORD0069"/>
    <s v="2023-07-15"/>
    <s v="West"/>
    <s v="Office Supplies"/>
    <n v="2881.18"/>
    <x v="0"/>
  </r>
  <r>
    <s v="ORD0070"/>
    <s v="2023-03-30"/>
    <s v="West"/>
    <s v="Furniture"/>
    <n v="670.37"/>
    <x v="6"/>
  </r>
  <r>
    <s v="ORD0071"/>
    <s v="2023-01-16"/>
    <s v="West"/>
    <s v="Furniture"/>
    <n v="3013.77"/>
    <x v="8"/>
  </r>
  <r>
    <s v="ORD0072"/>
    <s v="2023-11-14"/>
    <s v="East"/>
    <s v="Technology"/>
    <n v="4859.47"/>
    <x v="3"/>
  </r>
  <r>
    <s v="ORD0073"/>
    <s v="2023-03-04"/>
    <s v="East"/>
    <s v="Furniture"/>
    <n v="3368.47"/>
    <x v="6"/>
  </r>
  <r>
    <s v="ORD0074"/>
    <s v="2023-04-26"/>
    <s v="East"/>
    <s v="Furniture"/>
    <n v="717.94"/>
    <x v="9"/>
  </r>
  <r>
    <s v="ORD0075"/>
    <s v="2023-04-17"/>
    <s v="South"/>
    <s v="Furniture"/>
    <n v="981.3"/>
    <x v="9"/>
  </r>
  <r>
    <s v="ORD0076"/>
    <s v="2023-03-05"/>
    <s v="North"/>
    <s v="Technology"/>
    <n v="3167.7"/>
    <x v="6"/>
  </r>
  <r>
    <s v="ORD0077"/>
    <s v="2023-08-01"/>
    <s v="West"/>
    <s v="Office Supplies"/>
    <n v="737.45"/>
    <x v="7"/>
  </r>
  <r>
    <s v="ORD0078"/>
    <s v="2023-09-18"/>
    <s v="South"/>
    <s v="Office Supplies"/>
    <n v="3738.81"/>
    <x v="10"/>
  </r>
  <r>
    <s v="ORD0079"/>
    <s v="2023-11-11"/>
    <s v="East"/>
    <s v="Office Supplies"/>
    <n v="4799.71"/>
    <x v="3"/>
  </r>
  <r>
    <s v="ORD0080"/>
    <s v="2023-11-17"/>
    <s v="West"/>
    <s v="Technology"/>
    <n v="4019.64"/>
    <x v="3"/>
  </r>
  <r>
    <s v="ORD0081"/>
    <s v="2023-03-01"/>
    <s v="North"/>
    <s v="Furniture"/>
    <n v="1981.37"/>
    <x v="6"/>
  </r>
  <r>
    <s v="ORD0082"/>
    <s v="2023-01-11"/>
    <s v="East"/>
    <s v="Technology"/>
    <n v="509.52"/>
    <x v="8"/>
  </r>
  <r>
    <s v="ORD0083"/>
    <s v="2023-01-18"/>
    <s v="West"/>
    <s v="Furniture"/>
    <n v="3927.84"/>
    <x v="8"/>
  </r>
  <r>
    <s v="ORD0084"/>
    <s v="2023-01-09"/>
    <s v="South"/>
    <s v="Technology"/>
    <n v="2223.69"/>
    <x v="8"/>
  </r>
  <r>
    <s v="ORD0085"/>
    <s v="2023-10-23"/>
    <s v="South"/>
    <s v="Technology"/>
    <n v="3320.05"/>
    <x v="4"/>
  </r>
  <r>
    <s v="ORD0086"/>
    <s v="2023-03-23"/>
    <s v="North"/>
    <s v="Furniture"/>
    <n v="1629.26"/>
    <x v="6"/>
  </r>
  <r>
    <s v="ORD0087"/>
    <s v="2023-08-07"/>
    <s v="South"/>
    <s v="Furniture"/>
    <n v="1813.18"/>
    <x v="7"/>
  </r>
  <r>
    <s v="ORD0088"/>
    <s v="2023-01-06"/>
    <s v="South"/>
    <s v="Furniture"/>
    <n v="3347.9"/>
    <x v="8"/>
  </r>
  <r>
    <s v="ORD0089"/>
    <s v="2023-04-08"/>
    <s v="West"/>
    <s v="Furniture"/>
    <n v="4420.8"/>
    <x v="9"/>
  </r>
  <r>
    <s v="ORD0090"/>
    <s v="2023-01-10"/>
    <s v="South"/>
    <s v="Office Supplies"/>
    <n v="2824.76"/>
    <x v="8"/>
  </r>
  <r>
    <s v="ORD0091"/>
    <s v="2023-08-19"/>
    <s v="North"/>
    <s v="Technology"/>
    <n v="4293.76"/>
    <x v="7"/>
  </r>
  <r>
    <s v="ORD0092"/>
    <s v="2023-12-24"/>
    <s v="North"/>
    <s v="Office Supplies"/>
    <n v="2958.06"/>
    <x v="5"/>
  </r>
  <r>
    <s v="ORD0093"/>
    <s v="2023-04-21"/>
    <s v="East"/>
    <s v="Furniture"/>
    <n v="343.02"/>
    <x v="9"/>
  </r>
  <r>
    <s v="ORD0094"/>
    <s v="2023-05-31"/>
    <s v="West"/>
    <s v="Office Supplies"/>
    <n v="4827.8599999999997"/>
    <x v="2"/>
  </r>
  <r>
    <s v="ORD0095"/>
    <s v="2023-01-21"/>
    <s v="East"/>
    <s v="Office Supplies"/>
    <n v="4703.26"/>
    <x v="8"/>
  </r>
  <r>
    <s v="ORD0096"/>
    <s v="2023-11-17"/>
    <s v="South"/>
    <s v="Technology"/>
    <n v="3586.92"/>
    <x v="3"/>
  </r>
  <r>
    <s v="ORD0097"/>
    <s v="2023-06-30"/>
    <s v="West"/>
    <s v="Technology"/>
    <n v="2961.82"/>
    <x v="11"/>
  </r>
  <r>
    <s v="ORD0098"/>
    <s v="2023-10-24"/>
    <s v="East"/>
    <s v="Office Supplies"/>
    <n v="3511.59"/>
    <x v="4"/>
  </r>
  <r>
    <s v="ORD0099"/>
    <s v="2023-04-13"/>
    <s v="North"/>
    <s v="Office Supplies"/>
    <n v="4593.58"/>
    <x v="9"/>
  </r>
  <r>
    <s v="ORD0100"/>
    <s v="2023-01-15"/>
    <s v="North"/>
    <s v="Office Supplies"/>
    <n v="573.64"/>
    <x v="8"/>
  </r>
  <r>
    <s v="ORD0101"/>
    <s v="2023-08-31"/>
    <s v="East"/>
    <s v="Technology"/>
    <n v="1790.2"/>
    <x v="7"/>
  </r>
  <r>
    <s v="ORD0102"/>
    <s v="2023-05-02"/>
    <s v="East"/>
    <s v="Furniture"/>
    <n v="295.08999999999997"/>
    <x v="2"/>
  </r>
  <r>
    <s v="ORD0103"/>
    <s v="2023-02-20"/>
    <s v="South"/>
    <s v="Furniture"/>
    <n v="1518.47"/>
    <x v="1"/>
  </r>
  <r>
    <s v="ORD0104"/>
    <s v="2023-06-06"/>
    <s v="North"/>
    <s v="Technology"/>
    <n v="4238.8100000000004"/>
    <x v="11"/>
  </r>
  <r>
    <s v="ORD0105"/>
    <s v="2023-01-04"/>
    <s v="North"/>
    <s v="Furniture"/>
    <n v="3752.93"/>
    <x v="8"/>
  </r>
  <r>
    <s v="ORD0106"/>
    <s v="2023-08-07"/>
    <s v="West"/>
    <s v="Furniture"/>
    <n v="843.19"/>
    <x v="7"/>
  </r>
  <r>
    <s v="ORD0107"/>
    <s v="2023-12-18"/>
    <s v="South"/>
    <s v="Technology"/>
    <n v="497.67"/>
    <x v="5"/>
  </r>
  <r>
    <s v="ORD0108"/>
    <s v="2023-07-12"/>
    <s v="South"/>
    <s v="Office Supplies"/>
    <n v="2202.54"/>
    <x v="0"/>
  </r>
  <r>
    <s v="ORD0109"/>
    <s v="2023-04-23"/>
    <s v="North"/>
    <s v="Office Supplies"/>
    <n v="3634.77"/>
    <x v="9"/>
  </r>
  <r>
    <s v="ORD0110"/>
    <s v="2023-04-16"/>
    <s v="East"/>
    <s v="Technology"/>
    <n v="813.9"/>
    <x v="9"/>
  </r>
  <r>
    <s v="ORD0111"/>
    <s v="2023-01-07"/>
    <s v="East"/>
    <s v="Technology"/>
    <n v="2766.87"/>
    <x v="8"/>
  </r>
  <r>
    <s v="ORD0112"/>
    <s v="2023-05-26"/>
    <s v="West"/>
    <s v="Furniture"/>
    <n v="3361.86"/>
    <x v="2"/>
  </r>
  <r>
    <s v="ORD0113"/>
    <s v="2023-09-02"/>
    <s v="East"/>
    <s v="Furniture"/>
    <n v="2672.03"/>
    <x v="10"/>
  </r>
  <r>
    <s v="ORD0114"/>
    <s v="2023-09-08"/>
    <s v="North"/>
    <s v="Technology"/>
    <n v="551.4"/>
    <x v="10"/>
  </r>
  <r>
    <s v="ORD0115"/>
    <s v="2023-08-18"/>
    <s v="East"/>
    <s v="Furniture"/>
    <n v="2420.8000000000002"/>
    <x v="7"/>
  </r>
  <r>
    <s v="ORD0116"/>
    <s v="2023-01-07"/>
    <s v="South"/>
    <s v="Office Supplies"/>
    <n v="1914.37"/>
    <x v="8"/>
  </r>
  <r>
    <s v="ORD0117"/>
    <s v="2023-11-30"/>
    <s v="West"/>
    <s v="Office Supplies"/>
    <n v="783.89"/>
    <x v="3"/>
  </r>
  <r>
    <s v="ORD0118"/>
    <s v="2023-03-11"/>
    <s v="West"/>
    <s v="Office Supplies"/>
    <n v="4944.72"/>
    <x v="6"/>
  </r>
  <r>
    <s v="ORD0119"/>
    <s v="2023-05-24"/>
    <s v="North"/>
    <s v="Furniture"/>
    <n v="2980.4"/>
    <x v="2"/>
  </r>
  <r>
    <s v="ORD0120"/>
    <s v="2023-11-05"/>
    <s v="West"/>
    <s v="Furniture"/>
    <n v="4381.0600000000004"/>
    <x v="3"/>
  </r>
  <r>
    <s v="ORD0121"/>
    <s v="2023-03-01"/>
    <s v="North"/>
    <s v="Furniture"/>
    <n v="1248.55"/>
    <x v="6"/>
  </r>
  <r>
    <s v="ORD0122"/>
    <s v="2023-12-17"/>
    <s v="North"/>
    <s v="Furniture"/>
    <n v="3482.59"/>
    <x v="5"/>
  </r>
  <r>
    <s v="ORD0123"/>
    <s v="2023-12-17"/>
    <s v="East"/>
    <s v="Furniture"/>
    <n v="4908.7700000000004"/>
    <x v="5"/>
  </r>
  <r>
    <s v="ORD0124"/>
    <s v="2023-01-05"/>
    <s v="South"/>
    <s v="Technology"/>
    <n v="1606.61"/>
    <x v="8"/>
  </r>
  <r>
    <s v="ORD0125"/>
    <s v="2023-07-15"/>
    <s v="North"/>
    <s v="Technology"/>
    <n v="2376.4299999999998"/>
    <x v="0"/>
  </r>
  <r>
    <s v="ORD0126"/>
    <s v="2023-04-20"/>
    <s v="West"/>
    <s v="Technology"/>
    <n v="3714.93"/>
    <x v="9"/>
  </r>
  <r>
    <s v="ORD0127"/>
    <s v="2023-08-28"/>
    <s v="North"/>
    <s v="Office Supplies"/>
    <n v="3620.05"/>
    <x v="7"/>
  </r>
  <r>
    <s v="ORD0128"/>
    <s v="2023-10-06"/>
    <s v="South"/>
    <s v="Furniture"/>
    <n v="2833.59"/>
    <x v="4"/>
  </r>
  <r>
    <s v="ORD0129"/>
    <s v="2023-11-16"/>
    <s v="South"/>
    <s v="Furniture"/>
    <n v="3153.26"/>
    <x v="3"/>
  </r>
  <r>
    <s v="ORD0130"/>
    <s v="2023-04-21"/>
    <s v="West"/>
    <s v="Technology"/>
    <n v="3851.12"/>
    <x v="9"/>
  </r>
  <r>
    <s v="ORD0131"/>
    <s v="2023-02-26"/>
    <s v="North"/>
    <s v="Technology"/>
    <n v="3167.91"/>
    <x v="1"/>
  </r>
  <r>
    <s v="ORD0132"/>
    <s v="2023-09-23"/>
    <s v="North"/>
    <s v="Technology"/>
    <n v="3832.12"/>
    <x v="10"/>
  </r>
  <r>
    <s v="ORD0133"/>
    <s v="2023-11-24"/>
    <s v="West"/>
    <s v="Office Supplies"/>
    <n v="1570.62"/>
    <x v="3"/>
  </r>
  <r>
    <s v="ORD0134"/>
    <s v="2023-03-13"/>
    <s v="West"/>
    <s v="Office Supplies"/>
    <n v="4466.82"/>
    <x v="6"/>
  </r>
  <r>
    <s v="ORD0135"/>
    <s v="2023-08-26"/>
    <s v="North"/>
    <s v="Furniture"/>
    <n v="4067.39"/>
    <x v="7"/>
  </r>
  <r>
    <s v="ORD0136"/>
    <s v="2023-12-19"/>
    <s v="West"/>
    <s v="Office Supplies"/>
    <n v="3670.57"/>
    <x v="5"/>
  </r>
  <r>
    <s v="ORD0137"/>
    <s v="2023-11-17"/>
    <s v="West"/>
    <s v="Technology"/>
    <n v="4545.99"/>
    <x v="3"/>
  </r>
  <r>
    <s v="ORD0138"/>
    <s v="2023-12-29"/>
    <s v="West"/>
    <s v="Technology"/>
    <n v="948.55"/>
    <x v="5"/>
  </r>
  <r>
    <s v="ORD0139"/>
    <s v="2023-02-05"/>
    <s v="East"/>
    <s v="Furniture"/>
    <n v="2519.7399999999998"/>
    <x v="1"/>
  </r>
  <r>
    <s v="ORD0140"/>
    <s v="2023-09-12"/>
    <s v="North"/>
    <s v="Furniture"/>
    <n v="4449.8"/>
    <x v="10"/>
  </r>
  <r>
    <s v="ORD0141"/>
    <s v="2023-05-17"/>
    <s v="East"/>
    <s v="Technology"/>
    <n v="860.46"/>
    <x v="2"/>
  </r>
  <r>
    <s v="ORD0142"/>
    <s v="2023-09-13"/>
    <s v="West"/>
    <s v="Office Supplies"/>
    <n v="1849.91"/>
    <x v="10"/>
  </r>
  <r>
    <s v="ORD0143"/>
    <s v="2023-04-04"/>
    <s v="East"/>
    <s v="Furniture"/>
    <n v="1093.27"/>
    <x v="9"/>
  </r>
  <r>
    <s v="ORD0144"/>
    <s v="2023-12-27"/>
    <s v="East"/>
    <s v="Office Supplies"/>
    <n v="624.16"/>
    <x v="5"/>
  </r>
  <r>
    <s v="ORD0145"/>
    <s v="2023-03-03"/>
    <s v="South"/>
    <s v="Furniture"/>
    <n v="1968.67"/>
    <x v="6"/>
  </r>
  <r>
    <s v="ORD0146"/>
    <s v="2023-07-04"/>
    <s v="West"/>
    <s v="Furniture"/>
    <n v="2957.68"/>
    <x v="0"/>
  </r>
  <r>
    <s v="ORD0147"/>
    <s v="2023-12-03"/>
    <s v="South"/>
    <s v="Furniture"/>
    <n v="2690.74"/>
    <x v="5"/>
  </r>
  <r>
    <s v="ORD0148"/>
    <s v="2023-11-13"/>
    <s v="East"/>
    <s v="Technology"/>
    <n v="3364.14"/>
    <x v="3"/>
  </r>
  <r>
    <s v="ORD0149"/>
    <s v="2023-03-29"/>
    <s v="North"/>
    <s v="Office Supplies"/>
    <n v="2218.89"/>
    <x v="6"/>
  </r>
  <r>
    <s v="ORD0150"/>
    <s v="2023-05-28"/>
    <s v="North"/>
    <s v="Technology"/>
    <n v="3192.13"/>
    <x v="2"/>
  </r>
  <r>
    <s v="ORD0151"/>
    <s v="2023-02-23"/>
    <s v="North"/>
    <s v="Office Supplies"/>
    <n v="2492.9499999999998"/>
    <x v="1"/>
  </r>
  <r>
    <s v="ORD0152"/>
    <s v="2023-02-13"/>
    <s v="West"/>
    <s v="Office Supplies"/>
    <n v="4278.33"/>
    <x v="1"/>
  </r>
  <r>
    <s v="ORD0153"/>
    <s v="2023-10-22"/>
    <s v="East"/>
    <s v="Furniture"/>
    <n v="4539.42"/>
    <x v="4"/>
  </r>
  <r>
    <s v="ORD0154"/>
    <s v="2023-10-12"/>
    <s v="South"/>
    <s v="Technology"/>
    <n v="3949.32"/>
    <x v="4"/>
  </r>
  <r>
    <s v="ORD0155"/>
    <s v="2023-11-26"/>
    <s v="West"/>
    <s v="Furniture"/>
    <n v="3943.7"/>
    <x v="3"/>
  </r>
  <r>
    <s v="ORD0156"/>
    <s v="2023-11-20"/>
    <s v="West"/>
    <s v="Office Supplies"/>
    <n v="2017.55"/>
    <x v="3"/>
  </r>
  <r>
    <s v="ORD0157"/>
    <s v="2023-04-22"/>
    <s v="North"/>
    <s v="Office Supplies"/>
    <n v="1361.55"/>
    <x v="9"/>
  </r>
  <r>
    <s v="ORD0158"/>
    <s v="2023-07-29"/>
    <s v="East"/>
    <s v="Technology"/>
    <n v="1626.83"/>
    <x v="0"/>
  </r>
  <r>
    <s v="ORD0159"/>
    <s v="2023-12-08"/>
    <s v="South"/>
    <s v="Office Supplies"/>
    <n v="2266.5500000000002"/>
    <x v="5"/>
  </r>
  <r>
    <s v="ORD0160"/>
    <s v="2023-11-05"/>
    <s v="South"/>
    <s v="Furniture"/>
    <n v="3564.73"/>
    <x v="3"/>
  </r>
  <r>
    <s v="ORD0161"/>
    <s v="2023-12-14"/>
    <s v="North"/>
    <s v="Technology"/>
    <n v="429.88"/>
    <x v="5"/>
  </r>
  <r>
    <s v="ORD0162"/>
    <s v="2023-03-07"/>
    <s v="North"/>
    <s v="Office Supplies"/>
    <n v="1940.18"/>
    <x v="6"/>
  </r>
  <r>
    <s v="ORD0163"/>
    <s v="2023-03-08"/>
    <s v="North"/>
    <s v="Technology"/>
    <n v="2853.65"/>
    <x v="6"/>
  </r>
  <r>
    <s v="ORD0164"/>
    <s v="2023-12-03"/>
    <s v="North"/>
    <s v="Office Supplies"/>
    <n v="3468.13"/>
    <x v="5"/>
  </r>
  <r>
    <s v="ORD0165"/>
    <s v="2023-04-29"/>
    <s v="North"/>
    <s v="Office Supplies"/>
    <n v="4404.43"/>
    <x v="9"/>
  </r>
  <r>
    <s v="ORD0166"/>
    <s v="2023-08-04"/>
    <s v="South"/>
    <s v="Furniture"/>
    <n v="1072.08"/>
    <x v="7"/>
  </r>
  <r>
    <s v="ORD0167"/>
    <s v="2023-05-17"/>
    <s v="East"/>
    <s v="Furniture"/>
    <n v="4099"/>
    <x v="2"/>
  </r>
  <r>
    <s v="ORD0168"/>
    <s v="2023-05-07"/>
    <s v="West"/>
    <s v="Furniture"/>
    <n v="3704.24"/>
    <x v="2"/>
  </r>
  <r>
    <s v="ORD0169"/>
    <s v="2023-05-26"/>
    <s v="North"/>
    <s v="Technology"/>
    <n v="3617.51"/>
    <x v="2"/>
  </r>
  <r>
    <s v="ORD0170"/>
    <s v="2023-10-13"/>
    <s v="South"/>
    <s v="Technology"/>
    <n v="3097.94"/>
    <x v="4"/>
  </r>
  <r>
    <s v="ORD0171"/>
    <s v="2023-03-01"/>
    <s v="East"/>
    <s v="Technology"/>
    <n v="3765.82"/>
    <x v="6"/>
  </r>
  <r>
    <s v="ORD0172"/>
    <s v="2023-01-17"/>
    <s v="North"/>
    <s v="Office Supplies"/>
    <n v="2386.25"/>
    <x v="8"/>
  </r>
  <r>
    <s v="ORD0173"/>
    <s v="2023-06-25"/>
    <s v="North"/>
    <s v="Office Supplies"/>
    <n v="2729.33"/>
    <x v="11"/>
  </r>
  <r>
    <s v="ORD0174"/>
    <s v="2023-09-22"/>
    <s v="South"/>
    <s v="Furniture"/>
    <n v="1898.63"/>
    <x v="10"/>
  </r>
  <r>
    <s v="ORD0175"/>
    <s v="2023-07-24"/>
    <s v="West"/>
    <s v="Furniture"/>
    <n v="1611.69"/>
    <x v="0"/>
  </r>
  <r>
    <s v="ORD0176"/>
    <s v="2023-02-16"/>
    <s v="East"/>
    <s v="Technology"/>
    <n v="4517.05"/>
    <x v="1"/>
  </r>
  <r>
    <s v="ORD0177"/>
    <s v="2023-02-05"/>
    <s v="South"/>
    <s v="Technology"/>
    <n v="1503.05"/>
    <x v="1"/>
  </r>
  <r>
    <s v="ORD0178"/>
    <s v="2023-02-04"/>
    <s v="East"/>
    <s v="Office Supplies"/>
    <n v="1427.68"/>
    <x v="1"/>
  </r>
  <r>
    <s v="ORD0179"/>
    <s v="2023-04-14"/>
    <s v="East"/>
    <s v="Furniture"/>
    <n v="401.27"/>
    <x v="9"/>
  </r>
  <r>
    <s v="ORD0180"/>
    <s v="2023-01-07"/>
    <s v="South"/>
    <s v="Office Supplies"/>
    <n v="1617.7"/>
    <x v="8"/>
  </r>
  <r>
    <s v="ORD0181"/>
    <s v="2023-10-28"/>
    <s v="North"/>
    <s v="Furniture"/>
    <n v="2499.14"/>
    <x v="4"/>
  </r>
  <r>
    <s v="ORD0182"/>
    <s v="2023-07-11"/>
    <s v="West"/>
    <s v="Technology"/>
    <n v="2458.84"/>
    <x v="0"/>
  </r>
  <r>
    <s v="ORD0183"/>
    <s v="2023-12-03"/>
    <s v="West"/>
    <s v="Furniture"/>
    <n v="378.03"/>
    <x v="5"/>
  </r>
  <r>
    <s v="ORD0184"/>
    <s v="2023-10-25"/>
    <s v="South"/>
    <s v="Technology"/>
    <n v="3796.37"/>
    <x v="4"/>
  </r>
  <r>
    <s v="ORD0185"/>
    <s v="2023-01-11"/>
    <s v="West"/>
    <s v="Furniture"/>
    <n v="1575.04"/>
    <x v="8"/>
  </r>
  <r>
    <s v="ORD0186"/>
    <s v="2023-02-09"/>
    <s v="West"/>
    <s v="Furniture"/>
    <n v="4216.05"/>
    <x v="1"/>
  </r>
  <r>
    <s v="ORD0187"/>
    <s v="2023-06-16"/>
    <s v="North"/>
    <s v="Furniture"/>
    <n v="2549.1799999999998"/>
    <x v="11"/>
  </r>
  <r>
    <s v="ORD0188"/>
    <s v="2023-07-20"/>
    <s v="East"/>
    <s v="Furniture"/>
    <n v="4209.34"/>
    <x v="0"/>
  </r>
  <r>
    <s v="ORD0189"/>
    <s v="2023-05-03"/>
    <s v="West"/>
    <s v="Technology"/>
    <n v="3965.38"/>
    <x v="2"/>
  </r>
  <r>
    <s v="ORD0190"/>
    <s v="2023-06-13"/>
    <s v="North"/>
    <s v="Technology"/>
    <n v="2354.98"/>
    <x v="11"/>
  </r>
  <r>
    <s v="ORD0191"/>
    <s v="2023-07-01"/>
    <s v="East"/>
    <s v="Technology"/>
    <n v="1098.33"/>
    <x v="0"/>
  </r>
  <r>
    <s v="ORD0192"/>
    <s v="2023-03-27"/>
    <s v="South"/>
    <s v="Technology"/>
    <n v="2961.25"/>
    <x v="6"/>
  </r>
  <r>
    <s v="ORD0193"/>
    <s v="2023-09-08"/>
    <s v="South"/>
    <s v="Office Supplies"/>
    <n v="3237.74"/>
    <x v="10"/>
  </r>
  <r>
    <s v="ORD0194"/>
    <s v="2023-07-06"/>
    <s v="West"/>
    <s v="Furniture"/>
    <n v="1140.49"/>
    <x v="0"/>
  </r>
  <r>
    <s v="ORD0195"/>
    <s v="2023-01-25"/>
    <s v="North"/>
    <s v="Office Supplies"/>
    <n v="3054.6"/>
    <x v="8"/>
  </r>
  <r>
    <s v="ORD0196"/>
    <s v="2023-11-05"/>
    <s v="East"/>
    <s v="Furniture"/>
    <n v="1358.11"/>
    <x v="3"/>
  </r>
  <r>
    <s v="ORD0197"/>
    <s v="2023-08-08"/>
    <s v="North"/>
    <s v="Technology"/>
    <n v="3976.39"/>
    <x v="7"/>
  </r>
  <r>
    <s v="ORD0198"/>
    <s v="2023-02-28"/>
    <s v="North"/>
    <s v="Furniture"/>
    <n v="1653.24"/>
    <x v="1"/>
  </r>
  <r>
    <s v="ORD0199"/>
    <s v="2023-12-31"/>
    <s v="South"/>
    <s v="Office Supplies"/>
    <n v="3194"/>
    <x v="5"/>
  </r>
  <r>
    <s v="ORD0200"/>
    <s v="2023-03-27"/>
    <s v="West"/>
    <s v="Office Supplies"/>
    <n v="2146.29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1">
  <r>
    <s v="ORD0001"/>
    <s v="2023-07-13"/>
    <s v="East"/>
    <x v="0"/>
    <n v="3654.4"/>
  </r>
  <r>
    <s v="ORD0002"/>
    <s v="2023-02-22"/>
    <s v="South"/>
    <x v="1"/>
    <n v="402.16"/>
  </r>
  <r>
    <s v="ORD0003"/>
    <s v="2023-05-13"/>
    <s v="South"/>
    <x v="2"/>
    <n v="2459.02"/>
  </r>
  <r>
    <s v="ORD0004"/>
    <s v="2023-02-14"/>
    <s v="West"/>
    <x v="2"/>
    <n v="2617.87"/>
  </r>
  <r>
    <s v="ORD0005"/>
    <s v="2023-11-21"/>
    <s v="West"/>
    <x v="0"/>
    <n v="3611.09"/>
  </r>
  <r>
    <s v="ORD0006"/>
    <s v="2023-10-08"/>
    <s v="South"/>
    <x v="0"/>
    <n v="4609.46"/>
  </r>
  <r>
    <s v="ORD0007"/>
    <s v="2023-12-29"/>
    <s v="South"/>
    <x v="2"/>
    <n v="3823.83"/>
  </r>
  <r>
    <s v="ORD0008"/>
    <s v="2023-03-08"/>
    <s v="East"/>
    <x v="0"/>
    <n v="4418.12"/>
  </r>
  <r>
    <s v="ORD0009"/>
    <s v="2023-08-05"/>
    <s v="East"/>
    <x v="0"/>
    <n v="4700.83"/>
  </r>
  <r>
    <s v="ORD0010"/>
    <s v="2023-08-30"/>
    <s v="North"/>
    <x v="1"/>
    <n v="262.41000000000003"/>
  </r>
  <r>
    <s v="ORD0011"/>
    <s v="2023-03-21"/>
    <s v="South"/>
    <x v="2"/>
    <n v="4418.79"/>
  </r>
  <r>
    <s v="ORD0012"/>
    <s v="2023-01-24"/>
    <s v="East"/>
    <x v="2"/>
    <n v="114.8"/>
  </r>
  <r>
    <s v="ORD0013"/>
    <s v="2023-04-14"/>
    <s v="South"/>
    <x v="1"/>
    <n v="1674.64"/>
  </r>
  <r>
    <s v="ORD0014"/>
    <s v="2023-01-12"/>
    <s v="North"/>
    <x v="2"/>
    <n v="2603.2600000000002"/>
  </r>
  <r>
    <s v="ORD0015"/>
    <s v="2023-11-19"/>
    <s v="North"/>
    <x v="1"/>
    <n v="3461.42"/>
  </r>
  <r>
    <s v="ORD0016"/>
    <s v="2023-04-01"/>
    <s v="South"/>
    <x v="2"/>
    <n v="3323.45"/>
  </r>
  <r>
    <s v="ORD0017"/>
    <s v="2023-12-27"/>
    <s v="East"/>
    <x v="2"/>
    <n v="3839.91"/>
  </r>
  <r>
    <s v="ORD0018"/>
    <s v="2023-03-30"/>
    <s v="North"/>
    <x v="2"/>
    <n v="4997.79"/>
  </r>
  <r>
    <s v="ORD0019"/>
    <s v="2023-03-22"/>
    <s v="West"/>
    <x v="2"/>
    <n v="3138.79"/>
  </r>
  <r>
    <s v="ORD0020"/>
    <s v="2023-09-07"/>
    <s v="South"/>
    <x v="1"/>
    <n v="1605.37"/>
  </r>
  <r>
    <s v="ORD0021"/>
    <s v="2023-08-01"/>
    <s v="North"/>
    <x v="1"/>
    <n v="988.52"/>
  </r>
  <r>
    <s v="ORD0022"/>
    <s v="2023-07-15"/>
    <s v="North"/>
    <x v="2"/>
    <n v="4115.0200000000004"/>
  </r>
  <r>
    <s v="ORD0023"/>
    <s v="2023-01-23"/>
    <s v="North"/>
    <x v="0"/>
    <n v="420.16"/>
  </r>
  <r>
    <s v="ORD0024"/>
    <s v="2023-08-17"/>
    <s v="East"/>
    <x v="1"/>
    <n v="4609.4399999999996"/>
  </r>
  <r>
    <s v="ORD0025"/>
    <s v="2023-11-22"/>
    <s v="East"/>
    <x v="0"/>
    <n v="1099.25"/>
  </r>
  <r>
    <s v="ORD0026"/>
    <s v="2023-08-21"/>
    <s v="North"/>
    <x v="2"/>
    <n v="4516.07"/>
  </r>
  <r>
    <s v="ORD0027"/>
    <s v="2023-02-19"/>
    <s v="West"/>
    <x v="1"/>
    <n v="852.21"/>
  </r>
  <r>
    <s v="ORD0028"/>
    <s v="2023-07-18"/>
    <s v="South"/>
    <x v="2"/>
    <n v="1831.32"/>
  </r>
  <r>
    <s v="ORD0029"/>
    <s v="2023-12-20"/>
    <s v="East"/>
    <x v="0"/>
    <n v="2226.9"/>
  </r>
  <r>
    <s v="ORD0030"/>
    <s v="2023-06-14"/>
    <s v="East"/>
    <x v="2"/>
    <n v="3160.3"/>
  </r>
  <r>
    <s v="ORD0031"/>
    <s v="2023-01-09"/>
    <s v="South"/>
    <x v="0"/>
    <n v="1118.32"/>
  </r>
  <r>
    <s v="ORD0032"/>
    <s v="2023-05-14"/>
    <s v="West"/>
    <x v="1"/>
    <n v="3743.41"/>
  </r>
  <r>
    <s v="ORD0033"/>
    <s v="2023-01-09"/>
    <s v="East"/>
    <x v="2"/>
    <n v="4331.97"/>
  </r>
  <r>
    <s v="ORD0034"/>
    <s v="2023-01-19"/>
    <s v="South"/>
    <x v="0"/>
    <n v="4987.4399999999996"/>
  </r>
  <r>
    <s v="ORD0035"/>
    <s v="2023-03-14"/>
    <s v="North"/>
    <x v="1"/>
    <n v="1629.53"/>
  </r>
  <r>
    <s v="ORD0036"/>
    <s v="2023-10-12"/>
    <s v="South"/>
    <x v="1"/>
    <n v="2388.35"/>
  </r>
  <r>
    <s v="ORD0037"/>
    <s v="2023-09-14"/>
    <s v="South"/>
    <x v="0"/>
    <n v="1735.27"/>
  </r>
  <r>
    <s v="ORD0038"/>
    <s v="2023-02-14"/>
    <s v="West"/>
    <x v="0"/>
    <n v="4299.5600000000004"/>
  </r>
  <r>
    <s v="ORD0039"/>
    <s v="2023-03-22"/>
    <s v="West"/>
    <x v="1"/>
    <n v="1506.76"/>
  </r>
  <r>
    <s v="ORD0040"/>
    <s v="2023-06-09"/>
    <s v="East"/>
    <x v="2"/>
    <n v="2512.48"/>
  </r>
  <r>
    <s v="ORD0041"/>
    <s v="2023-08-02"/>
    <s v="West"/>
    <x v="2"/>
    <n v="3963.3"/>
  </r>
  <r>
    <s v="ORD0042"/>
    <s v="2023-08-02"/>
    <s v="West"/>
    <x v="1"/>
    <n v="2536.48"/>
  </r>
  <r>
    <s v="ORD0043"/>
    <s v="2023-10-02"/>
    <s v="West"/>
    <x v="0"/>
    <n v="4209.05"/>
  </r>
  <r>
    <s v="ORD0044"/>
    <s v="2023-04-03"/>
    <s v="East"/>
    <x v="1"/>
    <n v="2671.53"/>
  </r>
  <r>
    <s v="ORD0045"/>
    <s v="2023-08-18"/>
    <s v="East"/>
    <x v="0"/>
    <n v="2097.58"/>
  </r>
  <r>
    <s v="ORD0046"/>
    <s v="2023-08-12"/>
    <s v="South"/>
    <x v="0"/>
    <n v="614.91999999999996"/>
  </r>
  <r>
    <s v="ORD0047"/>
    <s v="2023-09-17"/>
    <s v="South"/>
    <x v="0"/>
    <n v="2773.68"/>
  </r>
  <r>
    <s v="ORD0048"/>
    <s v="2023-06-24"/>
    <s v="East"/>
    <x v="0"/>
    <n v="104.09"/>
  </r>
  <r>
    <s v="ORD0049"/>
    <s v="2023-06-06"/>
    <s v="North"/>
    <x v="1"/>
    <n v="3206.87"/>
  </r>
  <r>
    <s v="ORD0050"/>
    <s v="2023-01-17"/>
    <s v="East"/>
    <x v="1"/>
    <n v="2670.54"/>
  </r>
  <r>
    <s v="ORD0051"/>
    <s v="2023-06-03"/>
    <s v="East"/>
    <x v="0"/>
    <n v="3543.74"/>
  </r>
  <r>
    <s v="ORD0052"/>
    <s v="2023-08-11"/>
    <s v="West"/>
    <x v="2"/>
    <n v="1655.33"/>
  </r>
  <r>
    <s v="ORD0053"/>
    <s v="2023-10-03"/>
    <s v="West"/>
    <x v="1"/>
    <n v="2177.77"/>
  </r>
  <r>
    <s v="ORD0054"/>
    <s v="2023-04-27"/>
    <s v="East"/>
    <x v="0"/>
    <n v="3894.89"/>
  </r>
  <r>
    <s v="ORD0055"/>
    <s v="2023-12-21"/>
    <s v="North"/>
    <x v="0"/>
    <n v="1338.39"/>
  </r>
  <r>
    <s v="ORD0056"/>
    <s v="2023-01-26"/>
    <s v="North"/>
    <x v="1"/>
    <n v="157.12"/>
  </r>
  <r>
    <s v="ORD0057"/>
    <s v="2023-08-25"/>
    <s v="North"/>
    <x v="0"/>
    <n v="3217.29"/>
  </r>
  <r>
    <s v="ORD0058"/>
    <s v="2023-01-12"/>
    <s v="West"/>
    <x v="0"/>
    <n v="4752.6000000000004"/>
  </r>
  <r>
    <s v="ORD0059"/>
    <s v="2023-12-02"/>
    <s v="East"/>
    <x v="0"/>
    <n v="2985.97"/>
  </r>
  <r>
    <s v="ORD0060"/>
    <s v="2023-04-17"/>
    <s v="South"/>
    <x v="1"/>
    <n v="3991.25"/>
  </r>
  <r>
    <s v="ORD0061"/>
    <s v="2023-10-15"/>
    <s v="South"/>
    <x v="0"/>
    <n v="1260.0899999999999"/>
  </r>
  <r>
    <s v="ORD0062"/>
    <s v="2023-05-10"/>
    <s v="North"/>
    <x v="1"/>
    <n v="976.16"/>
  </r>
  <r>
    <s v="ORD0063"/>
    <s v="2023-02-06"/>
    <s v="North"/>
    <x v="0"/>
    <n v="2176.7399999999998"/>
  </r>
  <r>
    <s v="ORD0064"/>
    <s v="2023-10-26"/>
    <s v="South"/>
    <x v="1"/>
    <n v="2269.0300000000002"/>
  </r>
  <r>
    <s v="ORD0065"/>
    <s v="2023-11-04"/>
    <s v="West"/>
    <x v="2"/>
    <n v="589.41999999999996"/>
  </r>
  <r>
    <s v="ORD0066"/>
    <s v="2023-06-30"/>
    <s v="South"/>
    <x v="2"/>
    <n v="4151.3999999999996"/>
  </r>
  <r>
    <s v="ORD0067"/>
    <s v="2023-12-14"/>
    <s v="North"/>
    <x v="2"/>
    <n v="1872.11"/>
  </r>
  <r>
    <s v="ORD0068"/>
    <s v="2023-08-04"/>
    <s v="North"/>
    <x v="2"/>
    <n v="1333.11"/>
  </r>
  <r>
    <s v="ORD0069"/>
    <s v="2023-07-15"/>
    <s v="West"/>
    <x v="1"/>
    <n v="2881.18"/>
  </r>
  <r>
    <s v="ORD0070"/>
    <s v="2023-03-30"/>
    <s v="West"/>
    <x v="2"/>
    <n v="670.37"/>
  </r>
  <r>
    <s v="ORD0071"/>
    <s v="2023-01-16"/>
    <s v="West"/>
    <x v="2"/>
    <n v="3013.77"/>
  </r>
  <r>
    <s v="ORD0072"/>
    <s v="2023-11-14"/>
    <s v="East"/>
    <x v="0"/>
    <n v="4859.47"/>
  </r>
  <r>
    <s v="ORD0073"/>
    <s v="2023-03-04"/>
    <s v="East"/>
    <x v="2"/>
    <n v="3368.47"/>
  </r>
  <r>
    <s v="ORD0074"/>
    <s v="2023-04-26"/>
    <s v="East"/>
    <x v="2"/>
    <n v="717.94"/>
  </r>
  <r>
    <s v="ORD0075"/>
    <s v="2023-04-17"/>
    <s v="South"/>
    <x v="2"/>
    <n v="981.3"/>
  </r>
  <r>
    <s v="ORD0076"/>
    <s v="2023-03-05"/>
    <s v="North"/>
    <x v="0"/>
    <n v="3167.7"/>
  </r>
  <r>
    <s v="ORD0077"/>
    <s v="2023-08-01"/>
    <s v="West"/>
    <x v="1"/>
    <n v="737.45"/>
  </r>
  <r>
    <s v="ORD0078"/>
    <s v="2023-09-18"/>
    <s v="South"/>
    <x v="1"/>
    <n v="3738.81"/>
  </r>
  <r>
    <s v="ORD0079"/>
    <s v="2023-11-11"/>
    <s v="East"/>
    <x v="1"/>
    <n v="4799.71"/>
  </r>
  <r>
    <s v="ORD0080"/>
    <s v="2023-11-17"/>
    <s v="West"/>
    <x v="0"/>
    <n v="4019.64"/>
  </r>
  <r>
    <s v="ORD0081"/>
    <s v="2023-03-01"/>
    <s v="North"/>
    <x v="2"/>
    <n v="1981.37"/>
  </r>
  <r>
    <s v="ORD0082"/>
    <s v="2023-01-11"/>
    <s v="East"/>
    <x v="0"/>
    <n v="509.52"/>
  </r>
  <r>
    <s v="ORD0083"/>
    <s v="2023-01-18"/>
    <s v="West"/>
    <x v="2"/>
    <n v="3927.84"/>
  </r>
  <r>
    <s v="ORD0084"/>
    <s v="2023-01-09"/>
    <s v="South"/>
    <x v="0"/>
    <n v="2223.69"/>
  </r>
  <r>
    <s v="ORD0085"/>
    <s v="2023-10-23"/>
    <s v="South"/>
    <x v="0"/>
    <n v="3320.05"/>
  </r>
  <r>
    <s v="ORD0086"/>
    <s v="2023-03-23"/>
    <s v="North"/>
    <x v="2"/>
    <n v="1629.26"/>
  </r>
  <r>
    <s v="ORD0087"/>
    <s v="2023-08-07"/>
    <s v="South"/>
    <x v="2"/>
    <n v="1813.18"/>
  </r>
  <r>
    <s v="ORD0088"/>
    <s v="2023-01-06"/>
    <s v="South"/>
    <x v="2"/>
    <n v="3347.9"/>
  </r>
  <r>
    <s v="ORD0089"/>
    <s v="2023-04-08"/>
    <s v="West"/>
    <x v="2"/>
    <n v="4420.8"/>
  </r>
  <r>
    <s v="ORD0090"/>
    <s v="2023-01-10"/>
    <s v="South"/>
    <x v="1"/>
    <n v="2824.76"/>
  </r>
  <r>
    <s v="ORD0091"/>
    <s v="2023-08-19"/>
    <s v="North"/>
    <x v="0"/>
    <n v="4293.76"/>
  </r>
  <r>
    <s v="ORD0092"/>
    <s v="2023-12-24"/>
    <s v="North"/>
    <x v="1"/>
    <n v="2958.06"/>
  </r>
  <r>
    <s v="ORD0093"/>
    <s v="2023-04-21"/>
    <s v="East"/>
    <x v="2"/>
    <n v="343.02"/>
  </r>
  <r>
    <s v="ORD0094"/>
    <s v="2023-05-31"/>
    <s v="West"/>
    <x v="1"/>
    <n v="4827.8599999999997"/>
  </r>
  <r>
    <s v="ORD0095"/>
    <s v="2023-01-21"/>
    <s v="East"/>
    <x v="1"/>
    <n v="4703.26"/>
  </r>
  <r>
    <s v="ORD0096"/>
    <s v="2023-11-17"/>
    <s v="South"/>
    <x v="0"/>
    <n v="3586.92"/>
  </r>
  <r>
    <s v="ORD0097"/>
    <s v="2023-06-30"/>
    <s v="West"/>
    <x v="0"/>
    <n v="2961.82"/>
  </r>
  <r>
    <s v="ORD0098"/>
    <s v="2023-10-24"/>
    <s v="East"/>
    <x v="1"/>
    <n v="3511.59"/>
  </r>
  <r>
    <s v="ORD0099"/>
    <s v="2023-04-13"/>
    <s v="North"/>
    <x v="1"/>
    <n v="4593.58"/>
  </r>
  <r>
    <s v="ORD0100"/>
    <s v="2023-01-15"/>
    <s v="North"/>
    <x v="1"/>
    <n v="573.64"/>
  </r>
  <r>
    <s v="ORD0101"/>
    <s v="2023-08-31"/>
    <s v="East"/>
    <x v="0"/>
    <n v="1790.2"/>
  </r>
  <r>
    <s v="ORD0102"/>
    <s v="2023-05-02"/>
    <s v="East"/>
    <x v="2"/>
    <n v="295.08999999999997"/>
  </r>
  <r>
    <s v="ORD0103"/>
    <s v="2023-02-20"/>
    <s v="South"/>
    <x v="2"/>
    <n v="1518.47"/>
  </r>
  <r>
    <s v="ORD0104"/>
    <s v="2023-06-06"/>
    <s v="North"/>
    <x v="0"/>
    <n v="4238.8100000000004"/>
  </r>
  <r>
    <s v="ORD0105"/>
    <s v="2023-01-04"/>
    <s v="North"/>
    <x v="2"/>
    <n v="3752.93"/>
  </r>
  <r>
    <s v="ORD0106"/>
    <s v="2023-08-07"/>
    <s v="West"/>
    <x v="2"/>
    <n v="843.19"/>
  </r>
  <r>
    <s v="ORD0107"/>
    <s v="2023-12-18"/>
    <s v="South"/>
    <x v="0"/>
    <n v="497.67"/>
  </r>
  <r>
    <s v="ORD0108"/>
    <s v="2023-07-12"/>
    <s v="South"/>
    <x v="1"/>
    <n v="2202.54"/>
  </r>
  <r>
    <s v="ORD0109"/>
    <s v="2023-04-23"/>
    <s v="North"/>
    <x v="1"/>
    <n v="3634.77"/>
  </r>
  <r>
    <s v="ORD0110"/>
    <s v="2023-04-16"/>
    <s v="East"/>
    <x v="0"/>
    <n v="813.9"/>
  </r>
  <r>
    <s v="ORD0111"/>
    <s v="2023-01-07"/>
    <s v="East"/>
    <x v="0"/>
    <n v="2766.87"/>
  </r>
  <r>
    <s v="ORD0112"/>
    <s v="2023-05-26"/>
    <s v="West"/>
    <x v="2"/>
    <n v="3361.86"/>
  </r>
  <r>
    <s v="ORD0113"/>
    <s v="2023-09-02"/>
    <s v="East"/>
    <x v="2"/>
    <n v="2672.03"/>
  </r>
  <r>
    <s v="ORD0114"/>
    <s v="2023-09-08"/>
    <s v="North"/>
    <x v="0"/>
    <n v="551.4"/>
  </r>
  <r>
    <s v="ORD0115"/>
    <s v="2023-08-18"/>
    <s v="East"/>
    <x v="2"/>
    <n v="2420.8000000000002"/>
  </r>
  <r>
    <s v="ORD0116"/>
    <s v="2023-01-07"/>
    <s v="South"/>
    <x v="1"/>
    <n v="1914.37"/>
  </r>
  <r>
    <s v="ORD0117"/>
    <s v="2023-11-30"/>
    <s v="West"/>
    <x v="1"/>
    <n v="783.89"/>
  </r>
  <r>
    <s v="ORD0118"/>
    <s v="2023-03-11"/>
    <s v="West"/>
    <x v="1"/>
    <n v="4944.72"/>
  </r>
  <r>
    <s v="ORD0119"/>
    <s v="2023-05-24"/>
    <s v="North"/>
    <x v="2"/>
    <n v="2980.4"/>
  </r>
  <r>
    <s v="ORD0120"/>
    <s v="2023-11-05"/>
    <s v="West"/>
    <x v="2"/>
    <n v="4381.0600000000004"/>
  </r>
  <r>
    <s v="ORD0121"/>
    <s v="2023-03-01"/>
    <s v="North"/>
    <x v="2"/>
    <n v="1248.55"/>
  </r>
  <r>
    <s v="ORD0122"/>
    <s v="2023-12-17"/>
    <s v="North"/>
    <x v="2"/>
    <n v="3482.59"/>
  </r>
  <r>
    <s v="ORD0123"/>
    <s v="2023-12-17"/>
    <s v="East"/>
    <x v="2"/>
    <n v="4908.7700000000004"/>
  </r>
  <r>
    <s v="ORD0124"/>
    <s v="2023-01-05"/>
    <s v="South"/>
    <x v="0"/>
    <n v="1606.61"/>
  </r>
  <r>
    <s v="ORD0125"/>
    <s v="2023-07-15"/>
    <s v="North"/>
    <x v="0"/>
    <n v="2376.4299999999998"/>
  </r>
  <r>
    <s v="ORD0126"/>
    <s v="2023-04-20"/>
    <s v="West"/>
    <x v="0"/>
    <n v="3714.93"/>
  </r>
  <r>
    <s v="ORD0127"/>
    <s v="2023-08-28"/>
    <s v="North"/>
    <x v="1"/>
    <n v="3620.05"/>
  </r>
  <r>
    <s v="ORD0128"/>
    <s v="2023-10-06"/>
    <s v="South"/>
    <x v="2"/>
    <n v="2833.59"/>
  </r>
  <r>
    <s v="ORD0129"/>
    <s v="2023-11-16"/>
    <s v="South"/>
    <x v="2"/>
    <n v="3153.26"/>
  </r>
  <r>
    <s v="ORD0130"/>
    <s v="2023-04-21"/>
    <s v="West"/>
    <x v="0"/>
    <n v="3851.12"/>
  </r>
  <r>
    <s v="ORD0131"/>
    <s v="2023-02-26"/>
    <s v="North"/>
    <x v="0"/>
    <n v="3167.91"/>
  </r>
  <r>
    <s v="ORD0132"/>
    <s v="2023-09-23"/>
    <s v="North"/>
    <x v="0"/>
    <n v="3832.12"/>
  </r>
  <r>
    <s v="ORD0133"/>
    <s v="2023-11-24"/>
    <s v="West"/>
    <x v="1"/>
    <n v="1570.62"/>
  </r>
  <r>
    <s v="ORD0134"/>
    <s v="2023-03-13"/>
    <s v="West"/>
    <x v="1"/>
    <n v="4466.82"/>
  </r>
  <r>
    <s v="ORD0135"/>
    <s v="2023-08-26"/>
    <s v="North"/>
    <x v="2"/>
    <n v="4067.39"/>
  </r>
  <r>
    <s v="ORD0136"/>
    <s v="2023-12-19"/>
    <s v="West"/>
    <x v="1"/>
    <n v="3670.57"/>
  </r>
  <r>
    <s v="ORD0137"/>
    <s v="2023-11-17"/>
    <s v="West"/>
    <x v="0"/>
    <n v="4545.99"/>
  </r>
  <r>
    <s v="ORD0138"/>
    <s v="2023-12-29"/>
    <s v="West"/>
    <x v="0"/>
    <n v="948.55"/>
  </r>
  <r>
    <s v="ORD0139"/>
    <s v="2023-02-05"/>
    <s v="East"/>
    <x v="2"/>
    <n v="2519.7399999999998"/>
  </r>
  <r>
    <s v="ORD0140"/>
    <s v="2023-09-12"/>
    <s v="North"/>
    <x v="2"/>
    <n v="4449.8"/>
  </r>
  <r>
    <s v="ORD0141"/>
    <s v="2023-05-17"/>
    <s v="East"/>
    <x v="0"/>
    <n v="860.46"/>
  </r>
  <r>
    <s v="ORD0142"/>
    <s v="2023-09-13"/>
    <s v="West"/>
    <x v="1"/>
    <n v="1849.91"/>
  </r>
  <r>
    <s v="ORD0143"/>
    <s v="2023-04-04"/>
    <s v="East"/>
    <x v="2"/>
    <n v="1093.27"/>
  </r>
  <r>
    <s v="ORD0144"/>
    <s v="2023-12-27"/>
    <s v="East"/>
    <x v="1"/>
    <n v="624.16"/>
  </r>
  <r>
    <s v="ORD0145"/>
    <s v="2023-03-03"/>
    <s v="South"/>
    <x v="2"/>
    <n v="1968.67"/>
  </r>
  <r>
    <s v="ORD0146"/>
    <s v="2023-07-04"/>
    <s v="West"/>
    <x v="2"/>
    <n v="2957.68"/>
  </r>
  <r>
    <s v="ORD0147"/>
    <s v="2023-12-03"/>
    <s v="South"/>
    <x v="2"/>
    <n v="2690.74"/>
  </r>
  <r>
    <s v="ORD0148"/>
    <s v="2023-11-13"/>
    <s v="East"/>
    <x v="0"/>
    <n v="3364.14"/>
  </r>
  <r>
    <s v="ORD0149"/>
    <s v="2023-03-29"/>
    <s v="North"/>
    <x v="1"/>
    <n v="2218.89"/>
  </r>
  <r>
    <s v="ORD0150"/>
    <s v="2023-05-28"/>
    <s v="North"/>
    <x v="0"/>
    <n v="3192.13"/>
  </r>
  <r>
    <s v="ORD0151"/>
    <s v="2023-02-23"/>
    <s v="North"/>
    <x v="1"/>
    <n v="2492.9499999999998"/>
  </r>
  <r>
    <s v="ORD0152"/>
    <s v="2023-02-13"/>
    <s v="West"/>
    <x v="1"/>
    <n v="4278.33"/>
  </r>
  <r>
    <s v="ORD0153"/>
    <s v="2023-10-22"/>
    <s v="East"/>
    <x v="2"/>
    <n v="4539.42"/>
  </r>
  <r>
    <s v="ORD0154"/>
    <s v="2023-10-12"/>
    <s v="South"/>
    <x v="0"/>
    <n v="3949.32"/>
  </r>
  <r>
    <s v="ORD0155"/>
    <s v="2023-11-26"/>
    <s v="West"/>
    <x v="2"/>
    <n v="3943.7"/>
  </r>
  <r>
    <s v="ORD0156"/>
    <s v="2023-11-20"/>
    <s v="West"/>
    <x v="1"/>
    <n v="2017.55"/>
  </r>
  <r>
    <s v="ORD0157"/>
    <s v="2023-04-22"/>
    <s v="North"/>
    <x v="1"/>
    <n v="1361.55"/>
  </r>
  <r>
    <s v="ORD0158"/>
    <s v="2023-07-29"/>
    <s v="East"/>
    <x v="0"/>
    <n v="1626.83"/>
  </r>
  <r>
    <s v="ORD0159"/>
    <s v="2023-12-08"/>
    <s v="South"/>
    <x v="1"/>
    <n v="2266.5500000000002"/>
  </r>
  <r>
    <s v="ORD0160"/>
    <s v="2023-11-05"/>
    <s v="South"/>
    <x v="2"/>
    <n v="3564.73"/>
  </r>
  <r>
    <s v="ORD0161"/>
    <s v="2023-12-14"/>
    <s v="North"/>
    <x v="0"/>
    <n v="429.88"/>
  </r>
  <r>
    <s v="ORD0162"/>
    <s v="2023-03-07"/>
    <s v="North"/>
    <x v="1"/>
    <n v="1940.18"/>
  </r>
  <r>
    <s v="ORD0163"/>
    <s v="2023-03-08"/>
    <s v="North"/>
    <x v="0"/>
    <n v="2853.65"/>
  </r>
  <r>
    <s v="ORD0164"/>
    <s v="2023-12-03"/>
    <s v="North"/>
    <x v="1"/>
    <n v="3468.13"/>
  </r>
  <r>
    <s v="ORD0165"/>
    <s v="2023-04-29"/>
    <s v="North"/>
    <x v="1"/>
    <n v="4404.43"/>
  </r>
  <r>
    <s v="ORD0166"/>
    <s v="2023-08-04"/>
    <s v="South"/>
    <x v="2"/>
    <n v="1072.08"/>
  </r>
  <r>
    <s v="ORD0167"/>
    <s v="2023-05-17"/>
    <s v="East"/>
    <x v="2"/>
    <n v="4099"/>
  </r>
  <r>
    <s v="ORD0168"/>
    <s v="2023-05-07"/>
    <s v="West"/>
    <x v="2"/>
    <n v="3704.24"/>
  </r>
  <r>
    <s v="ORD0169"/>
    <s v="2023-05-26"/>
    <s v="North"/>
    <x v="0"/>
    <n v="3617.51"/>
  </r>
  <r>
    <s v="ORD0170"/>
    <s v="2023-10-13"/>
    <s v="South"/>
    <x v="0"/>
    <n v="3097.94"/>
  </r>
  <r>
    <s v="ORD0171"/>
    <s v="2023-03-01"/>
    <s v="East"/>
    <x v="0"/>
    <n v="3765.82"/>
  </r>
  <r>
    <s v="ORD0172"/>
    <s v="2023-01-17"/>
    <s v="North"/>
    <x v="1"/>
    <n v="2386.25"/>
  </r>
  <r>
    <s v="ORD0173"/>
    <s v="2023-06-25"/>
    <s v="North"/>
    <x v="1"/>
    <n v="2729.33"/>
  </r>
  <r>
    <s v="ORD0174"/>
    <s v="2023-09-22"/>
    <s v="South"/>
    <x v="2"/>
    <n v="1898.63"/>
  </r>
  <r>
    <s v="ORD0175"/>
    <s v="2023-07-24"/>
    <s v="West"/>
    <x v="2"/>
    <n v="1611.69"/>
  </r>
  <r>
    <s v="ORD0176"/>
    <s v="2023-02-16"/>
    <s v="East"/>
    <x v="0"/>
    <n v="4517.05"/>
  </r>
  <r>
    <s v="ORD0177"/>
    <s v="2023-02-05"/>
    <s v="South"/>
    <x v="0"/>
    <n v="1503.05"/>
  </r>
  <r>
    <s v="ORD0178"/>
    <s v="2023-02-04"/>
    <s v="East"/>
    <x v="1"/>
    <n v="1427.68"/>
  </r>
  <r>
    <s v="ORD0179"/>
    <s v="2023-04-14"/>
    <s v="East"/>
    <x v="2"/>
    <n v="401.27"/>
  </r>
  <r>
    <s v="ORD0180"/>
    <s v="2023-01-07"/>
    <s v="South"/>
    <x v="1"/>
    <n v="1617.7"/>
  </r>
  <r>
    <s v="ORD0181"/>
    <s v="2023-10-28"/>
    <s v="North"/>
    <x v="2"/>
    <n v="2499.14"/>
  </r>
  <r>
    <s v="ORD0182"/>
    <s v="2023-07-11"/>
    <s v="West"/>
    <x v="0"/>
    <n v="2458.84"/>
  </r>
  <r>
    <s v="ORD0183"/>
    <s v="2023-12-03"/>
    <s v="West"/>
    <x v="2"/>
    <n v="378.03"/>
  </r>
  <r>
    <s v="ORD0184"/>
    <s v="2023-10-25"/>
    <s v="South"/>
    <x v="0"/>
    <n v="3796.37"/>
  </r>
  <r>
    <s v="ORD0185"/>
    <s v="2023-01-11"/>
    <s v="West"/>
    <x v="2"/>
    <n v="1575.04"/>
  </r>
  <r>
    <s v="ORD0186"/>
    <s v="2023-02-09"/>
    <s v="West"/>
    <x v="2"/>
    <n v="4216.05"/>
  </r>
  <r>
    <s v="ORD0187"/>
    <s v="2023-06-16"/>
    <s v="North"/>
    <x v="2"/>
    <n v="2549.1799999999998"/>
  </r>
  <r>
    <s v="ORD0188"/>
    <s v="2023-07-20"/>
    <s v="East"/>
    <x v="2"/>
    <n v="4209.34"/>
  </r>
  <r>
    <s v="ORD0189"/>
    <s v="2023-05-03"/>
    <s v="West"/>
    <x v="0"/>
    <n v="3965.38"/>
  </r>
  <r>
    <s v="ORD0190"/>
    <s v="2023-06-13"/>
    <s v="North"/>
    <x v="0"/>
    <n v="2354.98"/>
  </r>
  <r>
    <s v="ORD0191"/>
    <s v="2023-07-01"/>
    <s v="East"/>
    <x v="0"/>
    <n v="1098.33"/>
  </r>
  <r>
    <s v="ORD0192"/>
    <s v="2023-03-27"/>
    <s v="South"/>
    <x v="0"/>
    <n v="2961.25"/>
  </r>
  <r>
    <s v="ORD0193"/>
    <s v="2023-09-08"/>
    <s v="South"/>
    <x v="1"/>
    <n v="3237.74"/>
  </r>
  <r>
    <s v="ORD0194"/>
    <s v="2023-07-06"/>
    <s v="West"/>
    <x v="2"/>
    <n v="1140.49"/>
  </r>
  <r>
    <s v="ORD0195"/>
    <s v="2023-01-25"/>
    <s v="North"/>
    <x v="1"/>
    <n v="3054.6"/>
  </r>
  <r>
    <s v="ORD0196"/>
    <s v="2023-11-05"/>
    <s v="East"/>
    <x v="2"/>
    <n v="1358.11"/>
  </r>
  <r>
    <s v="ORD0197"/>
    <s v="2023-08-08"/>
    <s v="North"/>
    <x v="0"/>
    <n v="3976.39"/>
  </r>
  <r>
    <s v="ORD0198"/>
    <s v="2023-02-28"/>
    <s v="North"/>
    <x v="2"/>
    <n v="1653.24"/>
  </r>
  <r>
    <s v="ORD0199"/>
    <s v="2023-12-31"/>
    <s v="South"/>
    <x v="1"/>
    <n v="3194"/>
  </r>
  <r>
    <s v="ORD0200"/>
    <s v="2023-03-27"/>
    <s v="West"/>
    <x v="1"/>
    <n v="2146.29"/>
  </r>
  <r>
    <m/>
    <m/>
    <m/>
    <x v="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0">
  <r>
    <s v="ORD0001"/>
    <s v="2023-07-13"/>
    <x v="0"/>
    <s v="Technology"/>
    <n v="3654.4"/>
  </r>
  <r>
    <s v="ORD0002"/>
    <s v="2023-02-22"/>
    <x v="1"/>
    <s v="Office Supplies"/>
    <n v="402.16"/>
  </r>
  <r>
    <s v="ORD0003"/>
    <s v="2023-05-13"/>
    <x v="1"/>
    <s v="Furniture"/>
    <n v="2459.02"/>
  </r>
  <r>
    <s v="ORD0004"/>
    <s v="2023-02-14"/>
    <x v="2"/>
    <s v="Furniture"/>
    <n v="2617.87"/>
  </r>
  <r>
    <s v="ORD0005"/>
    <s v="2023-11-21"/>
    <x v="2"/>
    <s v="Technology"/>
    <n v="3611.09"/>
  </r>
  <r>
    <s v="ORD0006"/>
    <s v="2023-10-08"/>
    <x v="1"/>
    <s v="Technology"/>
    <n v="4609.46"/>
  </r>
  <r>
    <s v="ORD0007"/>
    <s v="2023-12-29"/>
    <x v="1"/>
    <s v="Furniture"/>
    <n v="3823.83"/>
  </r>
  <r>
    <s v="ORD0008"/>
    <s v="2023-03-08"/>
    <x v="0"/>
    <s v="Technology"/>
    <n v="4418.12"/>
  </r>
  <r>
    <s v="ORD0009"/>
    <s v="2023-08-05"/>
    <x v="0"/>
    <s v="Technology"/>
    <n v="4700.83"/>
  </r>
  <r>
    <s v="ORD0010"/>
    <s v="2023-08-30"/>
    <x v="3"/>
    <s v="Office Supplies"/>
    <n v="262.41000000000003"/>
  </r>
  <r>
    <s v="ORD0011"/>
    <s v="2023-03-21"/>
    <x v="1"/>
    <s v="Furniture"/>
    <n v="4418.79"/>
  </r>
  <r>
    <s v="ORD0012"/>
    <s v="2023-01-24"/>
    <x v="0"/>
    <s v="Furniture"/>
    <n v="114.8"/>
  </r>
  <r>
    <s v="ORD0013"/>
    <s v="2023-04-14"/>
    <x v="1"/>
    <s v="Office Supplies"/>
    <n v="1674.64"/>
  </r>
  <r>
    <s v="ORD0014"/>
    <s v="2023-01-12"/>
    <x v="3"/>
    <s v="Furniture"/>
    <n v="2603.2600000000002"/>
  </r>
  <r>
    <s v="ORD0015"/>
    <s v="2023-11-19"/>
    <x v="3"/>
    <s v="Office Supplies"/>
    <n v="3461.42"/>
  </r>
  <r>
    <s v="ORD0016"/>
    <s v="2023-04-01"/>
    <x v="1"/>
    <s v="Furniture"/>
    <n v="3323.45"/>
  </r>
  <r>
    <s v="ORD0017"/>
    <s v="2023-12-27"/>
    <x v="0"/>
    <s v="Furniture"/>
    <n v="3839.91"/>
  </r>
  <r>
    <s v="ORD0018"/>
    <s v="2023-03-30"/>
    <x v="3"/>
    <s v="Furniture"/>
    <n v="4997.79"/>
  </r>
  <r>
    <s v="ORD0019"/>
    <s v="2023-03-22"/>
    <x v="2"/>
    <s v="Furniture"/>
    <n v="3138.79"/>
  </r>
  <r>
    <s v="ORD0020"/>
    <s v="2023-09-07"/>
    <x v="1"/>
    <s v="Office Supplies"/>
    <n v="1605.37"/>
  </r>
  <r>
    <s v="ORD0021"/>
    <s v="2023-08-01"/>
    <x v="3"/>
    <s v="Office Supplies"/>
    <n v="988.52"/>
  </r>
  <r>
    <s v="ORD0022"/>
    <s v="2023-07-15"/>
    <x v="3"/>
    <s v="Furniture"/>
    <n v="4115.0200000000004"/>
  </r>
  <r>
    <s v="ORD0023"/>
    <s v="2023-01-23"/>
    <x v="3"/>
    <s v="Technology"/>
    <n v="420.16"/>
  </r>
  <r>
    <s v="ORD0024"/>
    <s v="2023-08-17"/>
    <x v="0"/>
    <s v="Office Supplies"/>
    <n v="4609.4399999999996"/>
  </r>
  <r>
    <s v="ORD0025"/>
    <s v="2023-11-22"/>
    <x v="0"/>
    <s v="Technology"/>
    <n v="1099.25"/>
  </r>
  <r>
    <s v="ORD0026"/>
    <s v="2023-08-21"/>
    <x v="3"/>
    <s v="Furniture"/>
    <n v="4516.07"/>
  </r>
  <r>
    <s v="ORD0027"/>
    <s v="2023-02-19"/>
    <x v="2"/>
    <s v="Office Supplies"/>
    <n v="852.21"/>
  </r>
  <r>
    <s v="ORD0028"/>
    <s v="2023-07-18"/>
    <x v="1"/>
    <s v="Furniture"/>
    <n v="1831.32"/>
  </r>
  <r>
    <s v="ORD0029"/>
    <s v="2023-12-20"/>
    <x v="0"/>
    <s v="Technology"/>
    <n v="2226.9"/>
  </r>
  <r>
    <s v="ORD0030"/>
    <s v="2023-06-14"/>
    <x v="0"/>
    <s v="Furniture"/>
    <n v="3160.3"/>
  </r>
  <r>
    <s v="ORD0031"/>
    <s v="2023-01-09"/>
    <x v="1"/>
    <s v="Technology"/>
    <n v="1118.32"/>
  </r>
  <r>
    <s v="ORD0032"/>
    <s v="2023-05-14"/>
    <x v="2"/>
    <s v="Office Supplies"/>
    <n v="3743.41"/>
  </r>
  <r>
    <s v="ORD0033"/>
    <s v="2023-01-09"/>
    <x v="0"/>
    <s v="Furniture"/>
    <n v="4331.97"/>
  </r>
  <r>
    <s v="ORD0034"/>
    <s v="2023-01-19"/>
    <x v="1"/>
    <s v="Technology"/>
    <n v="4987.4399999999996"/>
  </r>
  <r>
    <s v="ORD0035"/>
    <s v="2023-03-14"/>
    <x v="3"/>
    <s v="Office Supplies"/>
    <n v="1629.53"/>
  </r>
  <r>
    <s v="ORD0036"/>
    <s v="2023-10-12"/>
    <x v="1"/>
    <s v="Office Supplies"/>
    <n v="2388.35"/>
  </r>
  <r>
    <s v="ORD0037"/>
    <s v="2023-09-14"/>
    <x v="1"/>
    <s v="Technology"/>
    <n v="1735.27"/>
  </r>
  <r>
    <s v="ORD0038"/>
    <s v="2023-02-14"/>
    <x v="2"/>
    <s v="Technology"/>
    <n v="4299.5600000000004"/>
  </r>
  <r>
    <s v="ORD0039"/>
    <s v="2023-03-22"/>
    <x v="2"/>
    <s v="Office Supplies"/>
    <n v="1506.76"/>
  </r>
  <r>
    <s v="ORD0040"/>
    <s v="2023-06-09"/>
    <x v="0"/>
    <s v="Furniture"/>
    <n v="2512.48"/>
  </r>
  <r>
    <s v="ORD0041"/>
    <s v="2023-08-02"/>
    <x v="2"/>
    <s v="Furniture"/>
    <n v="3963.3"/>
  </r>
  <r>
    <s v="ORD0042"/>
    <s v="2023-08-02"/>
    <x v="2"/>
    <s v="Office Supplies"/>
    <n v="2536.48"/>
  </r>
  <r>
    <s v="ORD0043"/>
    <s v="2023-10-02"/>
    <x v="2"/>
    <s v="Technology"/>
    <n v="4209.05"/>
  </r>
  <r>
    <s v="ORD0044"/>
    <s v="2023-04-03"/>
    <x v="0"/>
    <s v="Office Supplies"/>
    <n v="2671.53"/>
  </r>
  <r>
    <s v="ORD0045"/>
    <s v="2023-08-18"/>
    <x v="0"/>
    <s v="Technology"/>
    <n v="2097.58"/>
  </r>
  <r>
    <s v="ORD0046"/>
    <s v="2023-08-12"/>
    <x v="1"/>
    <s v="Technology"/>
    <n v="614.91999999999996"/>
  </r>
  <r>
    <s v="ORD0047"/>
    <s v="2023-09-17"/>
    <x v="1"/>
    <s v="Technology"/>
    <n v="2773.68"/>
  </r>
  <r>
    <s v="ORD0048"/>
    <s v="2023-06-24"/>
    <x v="0"/>
    <s v="Technology"/>
    <n v="104.09"/>
  </r>
  <r>
    <s v="ORD0049"/>
    <s v="2023-06-06"/>
    <x v="3"/>
    <s v="Office Supplies"/>
    <n v="3206.87"/>
  </r>
  <r>
    <s v="ORD0050"/>
    <s v="2023-01-17"/>
    <x v="0"/>
    <s v="Office Supplies"/>
    <n v="2670.54"/>
  </r>
  <r>
    <s v="ORD0051"/>
    <s v="2023-06-03"/>
    <x v="0"/>
    <s v="Technology"/>
    <n v="3543.74"/>
  </r>
  <r>
    <s v="ORD0052"/>
    <s v="2023-08-11"/>
    <x v="2"/>
    <s v="Furniture"/>
    <n v="1655.33"/>
  </r>
  <r>
    <s v="ORD0053"/>
    <s v="2023-10-03"/>
    <x v="2"/>
    <s v="Office Supplies"/>
    <n v="2177.77"/>
  </r>
  <r>
    <s v="ORD0054"/>
    <s v="2023-04-27"/>
    <x v="0"/>
    <s v="Technology"/>
    <n v="3894.89"/>
  </r>
  <r>
    <s v="ORD0055"/>
    <s v="2023-12-21"/>
    <x v="3"/>
    <s v="Technology"/>
    <n v="1338.39"/>
  </r>
  <r>
    <s v="ORD0056"/>
    <s v="2023-01-26"/>
    <x v="3"/>
    <s v="Office Supplies"/>
    <n v="157.12"/>
  </r>
  <r>
    <s v="ORD0057"/>
    <s v="2023-08-25"/>
    <x v="3"/>
    <s v="Technology"/>
    <n v="3217.29"/>
  </r>
  <r>
    <s v="ORD0058"/>
    <s v="2023-01-12"/>
    <x v="2"/>
    <s v="Technology"/>
    <n v="4752.6000000000004"/>
  </r>
  <r>
    <s v="ORD0059"/>
    <s v="2023-12-02"/>
    <x v="0"/>
    <s v="Technology"/>
    <n v="2985.97"/>
  </r>
  <r>
    <s v="ORD0060"/>
    <s v="2023-04-17"/>
    <x v="1"/>
    <s v="Office Supplies"/>
    <n v="3991.25"/>
  </r>
  <r>
    <s v="ORD0061"/>
    <s v="2023-10-15"/>
    <x v="1"/>
    <s v="Technology"/>
    <n v="1260.0899999999999"/>
  </r>
  <r>
    <s v="ORD0062"/>
    <s v="2023-05-10"/>
    <x v="3"/>
    <s v="Office Supplies"/>
    <n v="976.16"/>
  </r>
  <r>
    <s v="ORD0063"/>
    <s v="2023-02-06"/>
    <x v="3"/>
    <s v="Technology"/>
    <n v="2176.7399999999998"/>
  </r>
  <r>
    <s v="ORD0064"/>
    <s v="2023-10-26"/>
    <x v="1"/>
    <s v="Office Supplies"/>
    <n v="2269.0300000000002"/>
  </r>
  <r>
    <s v="ORD0065"/>
    <s v="2023-11-04"/>
    <x v="2"/>
    <s v="Furniture"/>
    <n v="589.41999999999996"/>
  </r>
  <r>
    <s v="ORD0066"/>
    <s v="2023-06-30"/>
    <x v="1"/>
    <s v="Furniture"/>
    <n v="4151.3999999999996"/>
  </r>
  <r>
    <s v="ORD0067"/>
    <s v="2023-12-14"/>
    <x v="3"/>
    <s v="Furniture"/>
    <n v="1872.11"/>
  </r>
  <r>
    <s v="ORD0068"/>
    <s v="2023-08-04"/>
    <x v="3"/>
    <s v="Furniture"/>
    <n v="1333.11"/>
  </r>
  <r>
    <s v="ORD0069"/>
    <s v="2023-07-15"/>
    <x v="2"/>
    <s v="Office Supplies"/>
    <n v="2881.18"/>
  </r>
  <r>
    <s v="ORD0070"/>
    <s v="2023-03-30"/>
    <x v="2"/>
    <s v="Furniture"/>
    <n v="670.37"/>
  </r>
  <r>
    <s v="ORD0071"/>
    <s v="2023-01-16"/>
    <x v="2"/>
    <s v="Furniture"/>
    <n v="3013.77"/>
  </r>
  <r>
    <s v="ORD0072"/>
    <s v="2023-11-14"/>
    <x v="0"/>
    <s v="Technology"/>
    <n v="4859.47"/>
  </r>
  <r>
    <s v="ORD0073"/>
    <s v="2023-03-04"/>
    <x v="0"/>
    <s v="Furniture"/>
    <n v="3368.47"/>
  </r>
  <r>
    <s v="ORD0074"/>
    <s v="2023-04-26"/>
    <x v="0"/>
    <s v="Furniture"/>
    <n v="717.94"/>
  </r>
  <r>
    <s v="ORD0075"/>
    <s v="2023-04-17"/>
    <x v="1"/>
    <s v="Furniture"/>
    <n v="981.3"/>
  </r>
  <r>
    <s v="ORD0076"/>
    <s v="2023-03-05"/>
    <x v="3"/>
    <s v="Technology"/>
    <n v="3167.7"/>
  </r>
  <r>
    <s v="ORD0077"/>
    <s v="2023-08-01"/>
    <x v="2"/>
    <s v="Office Supplies"/>
    <n v="737.45"/>
  </r>
  <r>
    <s v="ORD0078"/>
    <s v="2023-09-18"/>
    <x v="1"/>
    <s v="Office Supplies"/>
    <n v="3738.81"/>
  </r>
  <r>
    <s v="ORD0079"/>
    <s v="2023-11-11"/>
    <x v="0"/>
    <s v="Office Supplies"/>
    <n v="4799.71"/>
  </r>
  <r>
    <s v="ORD0080"/>
    <s v="2023-11-17"/>
    <x v="2"/>
    <s v="Technology"/>
    <n v="4019.64"/>
  </r>
  <r>
    <s v="ORD0081"/>
    <s v="2023-03-01"/>
    <x v="3"/>
    <s v="Furniture"/>
    <n v="1981.37"/>
  </r>
  <r>
    <s v="ORD0082"/>
    <s v="2023-01-11"/>
    <x v="0"/>
    <s v="Technology"/>
    <n v="509.52"/>
  </r>
  <r>
    <s v="ORD0083"/>
    <s v="2023-01-18"/>
    <x v="2"/>
    <s v="Furniture"/>
    <n v="3927.84"/>
  </r>
  <r>
    <s v="ORD0084"/>
    <s v="2023-01-09"/>
    <x v="1"/>
    <s v="Technology"/>
    <n v="2223.69"/>
  </r>
  <r>
    <s v="ORD0085"/>
    <s v="2023-10-23"/>
    <x v="1"/>
    <s v="Technology"/>
    <n v="3320.05"/>
  </r>
  <r>
    <s v="ORD0086"/>
    <s v="2023-03-23"/>
    <x v="3"/>
    <s v="Furniture"/>
    <n v="1629.26"/>
  </r>
  <r>
    <s v="ORD0087"/>
    <s v="2023-08-07"/>
    <x v="1"/>
    <s v="Furniture"/>
    <n v="1813.18"/>
  </r>
  <r>
    <s v="ORD0088"/>
    <s v="2023-01-06"/>
    <x v="1"/>
    <s v="Furniture"/>
    <n v="3347.9"/>
  </r>
  <r>
    <s v="ORD0089"/>
    <s v="2023-04-08"/>
    <x v="2"/>
    <s v="Furniture"/>
    <n v="4420.8"/>
  </r>
  <r>
    <s v="ORD0090"/>
    <s v="2023-01-10"/>
    <x v="1"/>
    <s v="Office Supplies"/>
    <n v="2824.76"/>
  </r>
  <r>
    <s v="ORD0091"/>
    <s v="2023-08-19"/>
    <x v="3"/>
    <s v="Technology"/>
    <n v="4293.76"/>
  </r>
  <r>
    <s v="ORD0092"/>
    <s v="2023-12-24"/>
    <x v="3"/>
    <s v="Office Supplies"/>
    <n v="2958.06"/>
  </r>
  <r>
    <s v="ORD0093"/>
    <s v="2023-04-21"/>
    <x v="0"/>
    <s v="Furniture"/>
    <n v="343.02"/>
  </r>
  <r>
    <s v="ORD0094"/>
    <s v="2023-05-31"/>
    <x v="2"/>
    <s v="Office Supplies"/>
    <n v="4827.8599999999997"/>
  </r>
  <r>
    <s v="ORD0095"/>
    <s v="2023-01-21"/>
    <x v="0"/>
    <s v="Office Supplies"/>
    <n v="4703.26"/>
  </r>
  <r>
    <s v="ORD0096"/>
    <s v="2023-11-17"/>
    <x v="1"/>
    <s v="Technology"/>
    <n v="3586.92"/>
  </r>
  <r>
    <s v="ORD0097"/>
    <s v="2023-06-30"/>
    <x v="2"/>
    <s v="Technology"/>
    <n v="2961.82"/>
  </r>
  <r>
    <s v="ORD0098"/>
    <s v="2023-10-24"/>
    <x v="0"/>
    <s v="Office Supplies"/>
    <n v="3511.59"/>
  </r>
  <r>
    <s v="ORD0099"/>
    <s v="2023-04-13"/>
    <x v="3"/>
    <s v="Office Supplies"/>
    <n v="4593.58"/>
  </r>
  <r>
    <s v="ORD0100"/>
    <s v="2023-01-15"/>
    <x v="3"/>
    <s v="Office Supplies"/>
    <n v="573.64"/>
  </r>
  <r>
    <s v="ORD0101"/>
    <s v="2023-08-31"/>
    <x v="0"/>
    <s v="Technology"/>
    <n v="1790.2"/>
  </r>
  <r>
    <s v="ORD0102"/>
    <s v="2023-05-02"/>
    <x v="0"/>
    <s v="Furniture"/>
    <n v="295.08999999999997"/>
  </r>
  <r>
    <s v="ORD0103"/>
    <s v="2023-02-20"/>
    <x v="1"/>
    <s v="Furniture"/>
    <n v="1518.47"/>
  </r>
  <r>
    <s v="ORD0104"/>
    <s v="2023-06-06"/>
    <x v="3"/>
    <s v="Technology"/>
    <n v="4238.8100000000004"/>
  </r>
  <r>
    <s v="ORD0105"/>
    <s v="2023-01-04"/>
    <x v="3"/>
    <s v="Furniture"/>
    <n v="3752.93"/>
  </r>
  <r>
    <s v="ORD0106"/>
    <s v="2023-08-07"/>
    <x v="2"/>
    <s v="Furniture"/>
    <n v="843.19"/>
  </r>
  <r>
    <s v="ORD0107"/>
    <s v="2023-12-18"/>
    <x v="1"/>
    <s v="Technology"/>
    <n v="497.67"/>
  </r>
  <r>
    <s v="ORD0108"/>
    <s v="2023-07-12"/>
    <x v="1"/>
    <s v="Office Supplies"/>
    <n v="2202.54"/>
  </r>
  <r>
    <s v="ORD0109"/>
    <s v="2023-04-23"/>
    <x v="3"/>
    <s v="Office Supplies"/>
    <n v="3634.77"/>
  </r>
  <r>
    <s v="ORD0110"/>
    <s v="2023-04-16"/>
    <x v="0"/>
    <s v="Technology"/>
    <n v="813.9"/>
  </r>
  <r>
    <s v="ORD0111"/>
    <s v="2023-01-07"/>
    <x v="0"/>
    <s v="Technology"/>
    <n v="2766.87"/>
  </r>
  <r>
    <s v="ORD0112"/>
    <s v="2023-05-26"/>
    <x v="2"/>
    <s v="Furniture"/>
    <n v="3361.86"/>
  </r>
  <r>
    <s v="ORD0113"/>
    <s v="2023-09-02"/>
    <x v="0"/>
    <s v="Furniture"/>
    <n v="2672.03"/>
  </r>
  <r>
    <s v="ORD0114"/>
    <s v="2023-09-08"/>
    <x v="3"/>
    <s v="Technology"/>
    <n v="551.4"/>
  </r>
  <r>
    <s v="ORD0115"/>
    <s v="2023-08-18"/>
    <x v="0"/>
    <s v="Furniture"/>
    <n v="2420.8000000000002"/>
  </r>
  <r>
    <s v="ORD0116"/>
    <s v="2023-01-07"/>
    <x v="1"/>
    <s v="Office Supplies"/>
    <n v="1914.37"/>
  </r>
  <r>
    <s v="ORD0117"/>
    <s v="2023-11-30"/>
    <x v="2"/>
    <s v="Office Supplies"/>
    <n v="783.89"/>
  </r>
  <r>
    <s v="ORD0118"/>
    <s v="2023-03-11"/>
    <x v="2"/>
    <s v="Office Supplies"/>
    <n v="4944.72"/>
  </r>
  <r>
    <s v="ORD0119"/>
    <s v="2023-05-24"/>
    <x v="3"/>
    <s v="Furniture"/>
    <n v="2980.4"/>
  </r>
  <r>
    <s v="ORD0120"/>
    <s v="2023-11-05"/>
    <x v="2"/>
    <s v="Furniture"/>
    <n v="4381.0600000000004"/>
  </r>
  <r>
    <s v="ORD0121"/>
    <s v="2023-03-01"/>
    <x v="3"/>
    <s v="Furniture"/>
    <n v="1248.55"/>
  </r>
  <r>
    <s v="ORD0122"/>
    <s v="2023-12-17"/>
    <x v="3"/>
    <s v="Furniture"/>
    <n v="3482.59"/>
  </r>
  <r>
    <s v="ORD0123"/>
    <s v="2023-12-17"/>
    <x v="0"/>
    <s v="Furniture"/>
    <n v="4908.7700000000004"/>
  </r>
  <r>
    <s v="ORD0124"/>
    <s v="2023-01-05"/>
    <x v="1"/>
    <s v="Technology"/>
    <n v="1606.61"/>
  </r>
  <r>
    <s v="ORD0125"/>
    <s v="2023-07-15"/>
    <x v="3"/>
    <s v="Technology"/>
    <n v="2376.4299999999998"/>
  </r>
  <r>
    <s v="ORD0126"/>
    <s v="2023-04-20"/>
    <x v="2"/>
    <s v="Technology"/>
    <n v="3714.93"/>
  </r>
  <r>
    <s v="ORD0127"/>
    <s v="2023-08-28"/>
    <x v="3"/>
    <s v="Office Supplies"/>
    <n v="3620.05"/>
  </r>
  <r>
    <s v="ORD0128"/>
    <s v="2023-10-06"/>
    <x v="1"/>
    <s v="Furniture"/>
    <n v="2833.59"/>
  </r>
  <r>
    <s v="ORD0129"/>
    <s v="2023-11-16"/>
    <x v="1"/>
    <s v="Furniture"/>
    <n v="3153.26"/>
  </r>
  <r>
    <s v="ORD0130"/>
    <s v="2023-04-21"/>
    <x v="2"/>
    <s v="Technology"/>
    <n v="3851.12"/>
  </r>
  <r>
    <s v="ORD0131"/>
    <s v="2023-02-26"/>
    <x v="3"/>
    <s v="Technology"/>
    <n v="3167.91"/>
  </r>
  <r>
    <s v="ORD0132"/>
    <s v="2023-09-23"/>
    <x v="3"/>
    <s v="Technology"/>
    <n v="3832.12"/>
  </r>
  <r>
    <s v="ORD0133"/>
    <s v="2023-11-24"/>
    <x v="2"/>
    <s v="Office Supplies"/>
    <n v="1570.62"/>
  </r>
  <r>
    <s v="ORD0134"/>
    <s v="2023-03-13"/>
    <x v="2"/>
    <s v="Office Supplies"/>
    <n v="4466.82"/>
  </r>
  <r>
    <s v="ORD0135"/>
    <s v="2023-08-26"/>
    <x v="3"/>
    <s v="Furniture"/>
    <n v="4067.39"/>
  </r>
  <r>
    <s v="ORD0136"/>
    <s v="2023-12-19"/>
    <x v="2"/>
    <s v="Office Supplies"/>
    <n v="3670.57"/>
  </r>
  <r>
    <s v="ORD0137"/>
    <s v="2023-11-17"/>
    <x v="2"/>
    <s v="Technology"/>
    <n v="4545.99"/>
  </r>
  <r>
    <s v="ORD0138"/>
    <s v="2023-12-29"/>
    <x v="2"/>
    <s v="Technology"/>
    <n v="948.55"/>
  </r>
  <r>
    <s v="ORD0139"/>
    <s v="2023-02-05"/>
    <x v="0"/>
    <s v="Furniture"/>
    <n v="2519.7399999999998"/>
  </r>
  <r>
    <s v="ORD0140"/>
    <s v="2023-09-12"/>
    <x v="3"/>
    <s v="Furniture"/>
    <n v="4449.8"/>
  </r>
  <r>
    <s v="ORD0141"/>
    <s v="2023-05-17"/>
    <x v="0"/>
    <s v="Technology"/>
    <n v="860.46"/>
  </r>
  <r>
    <s v="ORD0142"/>
    <s v="2023-09-13"/>
    <x v="2"/>
    <s v="Office Supplies"/>
    <n v="1849.91"/>
  </r>
  <r>
    <s v="ORD0143"/>
    <s v="2023-04-04"/>
    <x v="0"/>
    <s v="Furniture"/>
    <n v="1093.27"/>
  </r>
  <r>
    <s v="ORD0144"/>
    <s v="2023-12-27"/>
    <x v="0"/>
    <s v="Office Supplies"/>
    <n v="624.16"/>
  </r>
  <r>
    <s v="ORD0145"/>
    <s v="2023-03-03"/>
    <x v="1"/>
    <s v="Furniture"/>
    <n v="1968.67"/>
  </r>
  <r>
    <s v="ORD0146"/>
    <s v="2023-07-04"/>
    <x v="2"/>
    <s v="Furniture"/>
    <n v="2957.68"/>
  </r>
  <r>
    <s v="ORD0147"/>
    <s v="2023-12-03"/>
    <x v="1"/>
    <s v="Furniture"/>
    <n v="2690.74"/>
  </r>
  <r>
    <s v="ORD0148"/>
    <s v="2023-11-13"/>
    <x v="0"/>
    <s v="Technology"/>
    <n v="3364.14"/>
  </r>
  <r>
    <s v="ORD0149"/>
    <s v="2023-03-29"/>
    <x v="3"/>
    <s v="Office Supplies"/>
    <n v="2218.89"/>
  </r>
  <r>
    <s v="ORD0150"/>
    <s v="2023-05-28"/>
    <x v="3"/>
    <s v="Technology"/>
    <n v="3192.13"/>
  </r>
  <r>
    <s v="ORD0151"/>
    <s v="2023-02-23"/>
    <x v="3"/>
    <s v="Office Supplies"/>
    <n v="2492.9499999999998"/>
  </r>
  <r>
    <s v="ORD0152"/>
    <s v="2023-02-13"/>
    <x v="2"/>
    <s v="Office Supplies"/>
    <n v="4278.33"/>
  </r>
  <r>
    <s v="ORD0153"/>
    <s v="2023-10-22"/>
    <x v="0"/>
    <s v="Furniture"/>
    <n v="4539.42"/>
  </r>
  <r>
    <s v="ORD0154"/>
    <s v="2023-10-12"/>
    <x v="1"/>
    <s v="Technology"/>
    <n v="3949.32"/>
  </r>
  <r>
    <s v="ORD0155"/>
    <s v="2023-11-26"/>
    <x v="2"/>
    <s v="Furniture"/>
    <n v="3943.7"/>
  </r>
  <r>
    <s v="ORD0156"/>
    <s v="2023-11-20"/>
    <x v="2"/>
    <s v="Office Supplies"/>
    <n v="2017.55"/>
  </r>
  <r>
    <s v="ORD0157"/>
    <s v="2023-04-22"/>
    <x v="3"/>
    <s v="Office Supplies"/>
    <n v="1361.55"/>
  </r>
  <r>
    <s v="ORD0158"/>
    <s v="2023-07-29"/>
    <x v="0"/>
    <s v="Technology"/>
    <n v="1626.83"/>
  </r>
  <r>
    <s v="ORD0159"/>
    <s v="2023-12-08"/>
    <x v="1"/>
    <s v="Office Supplies"/>
    <n v="2266.5500000000002"/>
  </r>
  <r>
    <s v="ORD0160"/>
    <s v="2023-11-05"/>
    <x v="1"/>
    <s v="Furniture"/>
    <n v="3564.73"/>
  </r>
  <r>
    <s v="ORD0161"/>
    <s v="2023-12-14"/>
    <x v="3"/>
    <s v="Technology"/>
    <n v="429.88"/>
  </r>
  <r>
    <s v="ORD0162"/>
    <s v="2023-03-07"/>
    <x v="3"/>
    <s v="Office Supplies"/>
    <n v="1940.18"/>
  </r>
  <r>
    <s v="ORD0163"/>
    <s v="2023-03-08"/>
    <x v="3"/>
    <s v="Technology"/>
    <n v="2853.65"/>
  </r>
  <r>
    <s v="ORD0164"/>
    <s v="2023-12-03"/>
    <x v="3"/>
    <s v="Office Supplies"/>
    <n v="3468.13"/>
  </r>
  <r>
    <s v="ORD0165"/>
    <s v="2023-04-29"/>
    <x v="3"/>
    <s v="Office Supplies"/>
    <n v="4404.43"/>
  </r>
  <r>
    <s v="ORD0166"/>
    <s v="2023-08-04"/>
    <x v="1"/>
    <s v="Furniture"/>
    <n v="1072.08"/>
  </r>
  <r>
    <s v="ORD0167"/>
    <s v="2023-05-17"/>
    <x v="0"/>
    <s v="Furniture"/>
    <n v="4099"/>
  </r>
  <r>
    <s v="ORD0168"/>
    <s v="2023-05-07"/>
    <x v="2"/>
    <s v="Furniture"/>
    <n v="3704.24"/>
  </r>
  <r>
    <s v="ORD0169"/>
    <s v="2023-05-26"/>
    <x v="3"/>
    <s v="Technology"/>
    <n v="3617.51"/>
  </r>
  <r>
    <s v="ORD0170"/>
    <s v="2023-10-13"/>
    <x v="1"/>
    <s v="Technology"/>
    <n v="3097.94"/>
  </r>
  <r>
    <s v="ORD0171"/>
    <s v="2023-03-01"/>
    <x v="0"/>
    <s v="Technology"/>
    <n v="3765.82"/>
  </r>
  <r>
    <s v="ORD0172"/>
    <s v="2023-01-17"/>
    <x v="3"/>
    <s v="Office Supplies"/>
    <n v="2386.25"/>
  </r>
  <r>
    <s v="ORD0173"/>
    <s v="2023-06-25"/>
    <x v="3"/>
    <s v="Office Supplies"/>
    <n v="2729.33"/>
  </r>
  <r>
    <s v="ORD0174"/>
    <s v="2023-09-22"/>
    <x v="1"/>
    <s v="Furniture"/>
    <n v="1898.63"/>
  </r>
  <r>
    <s v="ORD0175"/>
    <s v="2023-07-24"/>
    <x v="2"/>
    <s v="Furniture"/>
    <n v="1611.69"/>
  </r>
  <r>
    <s v="ORD0176"/>
    <s v="2023-02-16"/>
    <x v="0"/>
    <s v="Technology"/>
    <n v="4517.05"/>
  </r>
  <r>
    <s v="ORD0177"/>
    <s v="2023-02-05"/>
    <x v="1"/>
    <s v="Technology"/>
    <n v="1503.05"/>
  </r>
  <r>
    <s v="ORD0178"/>
    <s v="2023-02-04"/>
    <x v="0"/>
    <s v="Office Supplies"/>
    <n v="1427.68"/>
  </r>
  <r>
    <s v="ORD0179"/>
    <s v="2023-04-14"/>
    <x v="0"/>
    <s v="Furniture"/>
    <n v="401.27"/>
  </r>
  <r>
    <s v="ORD0180"/>
    <s v="2023-01-07"/>
    <x v="1"/>
    <s v="Office Supplies"/>
    <n v="1617.7"/>
  </r>
  <r>
    <s v="ORD0181"/>
    <s v="2023-10-28"/>
    <x v="3"/>
    <s v="Furniture"/>
    <n v="2499.14"/>
  </r>
  <r>
    <s v="ORD0182"/>
    <s v="2023-07-11"/>
    <x v="2"/>
    <s v="Technology"/>
    <n v="2458.84"/>
  </r>
  <r>
    <s v="ORD0183"/>
    <s v="2023-12-03"/>
    <x v="2"/>
    <s v="Furniture"/>
    <n v="378.03"/>
  </r>
  <r>
    <s v="ORD0184"/>
    <s v="2023-10-25"/>
    <x v="1"/>
    <s v="Technology"/>
    <n v="3796.37"/>
  </r>
  <r>
    <s v="ORD0185"/>
    <s v="2023-01-11"/>
    <x v="2"/>
    <s v="Furniture"/>
    <n v="1575.04"/>
  </r>
  <r>
    <s v="ORD0186"/>
    <s v="2023-02-09"/>
    <x v="2"/>
    <s v="Furniture"/>
    <n v="4216.05"/>
  </r>
  <r>
    <s v="ORD0187"/>
    <s v="2023-06-16"/>
    <x v="3"/>
    <s v="Furniture"/>
    <n v="2549.1799999999998"/>
  </r>
  <r>
    <s v="ORD0188"/>
    <s v="2023-07-20"/>
    <x v="0"/>
    <s v="Furniture"/>
    <n v="4209.34"/>
  </r>
  <r>
    <s v="ORD0189"/>
    <s v="2023-05-03"/>
    <x v="2"/>
    <s v="Technology"/>
    <n v="3965.38"/>
  </r>
  <r>
    <s v="ORD0190"/>
    <s v="2023-06-13"/>
    <x v="3"/>
    <s v="Technology"/>
    <n v="2354.98"/>
  </r>
  <r>
    <s v="ORD0191"/>
    <s v="2023-07-01"/>
    <x v="0"/>
    <s v="Technology"/>
    <n v="1098.33"/>
  </r>
  <r>
    <s v="ORD0192"/>
    <s v="2023-03-27"/>
    <x v="1"/>
    <s v="Technology"/>
    <n v="2961.25"/>
  </r>
  <r>
    <s v="ORD0193"/>
    <s v="2023-09-08"/>
    <x v="1"/>
    <s v="Office Supplies"/>
    <n v="3237.74"/>
  </r>
  <r>
    <s v="ORD0194"/>
    <s v="2023-07-06"/>
    <x v="2"/>
    <s v="Furniture"/>
    <n v="1140.49"/>
  </r>
  <r>
    <s v="ORD0195"/>
    <s v="2023-01-25"/>
    <x v="3"/>
    <s v="Office Supplies"/>
    <n v="3054.6"/>
  </r>
  <r>
    <s v="ORD0196"/>
    <s v="2023-11-05"/>
    <x v="0"/>
    <s v="Furniture"/>
    <n v="1358.11"/>
  </r>
  <r>
    <s v="ORD0197"/>
    <s v="2023-08-08"/>
    <x v="3"/>
    <s v="Technology"/>
    <n v="3976.39"/>
  </r>
  <r>
    <s v="ORD0198"/>
    <s v="2023-02-28"/>
    <x v="3"/>
    <s v="Furniture"/>
    <n v="1653.24"/>
  </r>
  <r>
    <s v="ORD0199"/>
    <s v="2023-12-31"/>
    <x v="1"/>
    <s v="Office Supplies"/>
    <n v="3194"/>
  </r>
  <r>
    <s v="ORD0200"/>
    <s v="2023-03-27"/>
    <x v="2"/>
    <s v="Office Supplies"/>
    <n v="2146.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9">
  <location ref="A1:B6" firstHeaderRow="1" firstDataRow="1" firstDataCol="1"/>
  <pivotFields count="5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0">
  <location ref="A1:B5" firstHeaderRow="1" firstDataRow="1" firstDataCol="1"/>
  <pivotFields count="5"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3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7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2">
  <location ref="H61:I74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 defaultSubtotal="0">
      <items count="12">
        <item x="8"/>
        <item x="1"/>
        <item x="6"/>
        <item x="9"/>
        <item x="2"/>
        <item x="11"/>
        <item x="0"/>
        <item x="7"/>
        <item x="10"/>
        <item x="4"/>
        <item x="3"/>
        <item x="5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4" baseField="1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30" sqref="D30"/>
    </sheetView>
  </sheetViews>
  <sheetFormatPr defaultRowHeight="14.4" x14ac:dyDescent="0.3"/>
  <cols>
    <col min="1" max="1" width="12.5546875" customWidth="1"/>
    <col min="2" max="2" width="11.6640625" bestFit="1" customWidth="1"/>
  </cols>
  <sheetData>
    <row r="1" spans="1:2" x14ac:dyDescent="0.3">
      <c r="A1" s="1" t="s">
        <v>371</v>
      </c>
      <c r="B1" t="s">
        <v>373</v>
      </c>
    </row>
    <row r="2" spans="1:2" x14ac:dyDescent="0.3">
      <c r="A2" s="2" t="s">
        <v>7</v>
      </c>
      <c r="B2" s="3">
        <v>126622.00000000001</v>
      </c>
    </row>
    <row r="3" spans="1:2" x14ac:dyDescent="0.3">
      <c r="A3" s="2" t="s">
        <v>31</v>
      </c>
      <c r="B3" s="3">
        <v>145054.90000000002</v>
      </c>
    </row>
    <row r="4" spans="1:2" x14ac:dyDescent="0.3">
      <c r="A4" s="2" t="s">
        <v>11</v>
      </c>
      <c r="B4" s="3">
        <v>121819.68</v>
      </c>
    </row>
    <row r="5" spans="1:2" x14ac:dyDescent="0.3">
      <c r="A5" s="2" t="s">
        <v>18</v>
      </c>
      <c r="B5" s="3">
        <v>140440.91</v>
      </c>
    </row>
    <row r="6" spans="1:2" x14ac:dyDescent="0.3">
      <c r="A6" s="2" t="s">
        <v>372</v>
      </c>
      <c r="B6" s="3">
        <v>533937.49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K23" sqref="K23"/>
    </sheetView>
  </sheetViews>
  <sheetFormatPr defaultRowHeight="14.4" x14ac:dyDescent="0.3"/>
  <cols>
    <col min="1" max="1" width="13.109375" customWidth="1"/>
    <col min="2" max="2" width="11.6640625" customWidth="1"/>
  </cols>
  <sheetData>
    <row r="1" spans="1:2" x14ac:dyDescent="0.3">
      <c r="A1" s="1" t="s">
        <v>371</v>
      </c>
      <c r="B1" t="s">
        <v>373</v>
      </c>
    </row>
    <row r="2" spans="1:2" x14ac:dyDescent="0.3">
      <c r="A2" s="2" t="s">
        <v>15</v>
      </c>
      <c r="B2" s="3">
        <v>193597.81999999992</v>
      </c>
    </row>
    <row r="3" spans="1:2" x14ac:dyDescent="0.3">
      <c r="A3" s="2" t="s">
        <v>12</v>
      </c>
      <c r="B3" s="3">
        <v>153455.43999999997</v>
      </c>
    </row>
    <row r="4" spans="1:2" x14ac:dyDescent="0.3">
      <c r="A4" s="2" t="s">
        <v>8</v>
      </c>
      <c r="B4" s="3">
        <v>186884.22999999995</v>
      </c>
    </row>
    <row r="5" spans="1:2" x14ac:dyDescent="0.3">
      <c r="A5" s="2" t="s">
        <v>372</v>
      </c>
      <c r="B5" s="3">
        <v>533937.48999999987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topLeftCell="A34" workbookViewId="0">
      <selection activeCell="S48" sqref="S48"/>
    </sheetView>
  </sheetViews>
  <sheetFormatPr defaultRowHeight="14.4" x14ac:dyDescent="0.3"/>
  <cols>
    <col min="8" max="8" width="12.5546875" customWidth="1"/>
    <col min="9" max="9" width="11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>
        <v>3654.4</v>
      </c>
      <c r="F2" t="str">
        <f>TEXT(B2,"mmm")</f>
        <v>Jul</v>
      </c>
    </row>
    <row r="3" spans="1:6" x14ac:dyDescent="0.3">
      <c r="A3" t="s">
        <v>9</v>
      </c>
      <c r="B3" t="s">
        <v>10</v>
      </c>
      <c r="C3" t="s">
        <v>11</v>
      </c>
      <c r="D3" t="s">
        <v>12</v>
      </c>
      <c r="E3">
        <v>402.16</v>
      </c>
      <c r="F3" t="str">
        <f t="shared" ref="F3:F66" si="0">TEXT(B3,"mmm")</f>
        <v>Feb</v>
      </c>
    </row>
    <row r="4" spans="1:6" x14ac:dyDescent="0.3">
      <c r="A4" t="s">
        <v>13</v>
      </c>
      <c r="B4" t="s">
        <v>14</v>
      </c>
      <c r="C4" t="s">
        <v>11</v>
      </c>
      <c r="D4" t="s">
        <v>15</v>
      </c>
      <c r="E4">
        <v>2459.02</v>
      </c>
      <c r="F4" t="str">
        <f t="shared" si="0"/>
        <v>May</v>
      </c>
    </row>
    <row r="5" spans="1:6" x14ac:dyDescent="0.3">
      <c r="A5" t="s">
        <v>16</v>
      </c>
      <c r="B5" t="s">
        <v>17</v>
      </c>
      <c r="C5" t="s">
        <v>18</v>
      </c>
      <c r="D5" t="s">
        <v>15</v>
      </c>
      <c r="E5">
        <v>2617.87</v>
      </c>
      <c r="F5" t="str">
        <f t="shared" si="0"/>
        <v>Feb</v>
      </c>
    </row>
    <row r="6" spans="1:6" x14ac:dyDescent="0.3">
      <c r="A6" t="s">
        <v>19</v>
      </c>
      <c r="B6" t="s">
        <v>20</v>
      </c>
      <c r="C6" t="s">
        <v>18</v>
      </c>
      <c r="D6" t="s">
        <v>8</v>
      </c>
      <c r="E6">
        <v>3611.09</v>
      </c>
      <c r="F6" t="str">
        <f t="shared" si="0"/>
        <v>Nov</v>
      </c>
    </row>
    <row r="7" spans="1:6" x14ac:dyDescent="0.3">
      <c r="A7" t="s">
        <v>21</v>
      </c>
      <c r="B7" t="s">
        <v>22</v>
      </c>
      <c r="C7" t="s">
        <v>11</v>
      </c>
      <c r="D7" t="s">
        <v>8</v>
      </c>
      <c r="E7">
        <v>4609.46</v>
      </c>
      <c r="F7" t="str">
        <f t="shared" si="0"/>
        <v>Oct</v>
      </c>
    </row>
    <row r="8" spans="1:6" x14ac:dyDescent="0.3">
      <c r="A8" t="s">
        <v>23</v>
      </c>
      <c r="B8" t="s">
        <v>24</v>
      </c>
      <c r="C8" t="s">
        <v>11</v>
      </c>
      <c r="D8" t="s">
        <v>15</v>
      </c>
      <c r="E8">
        <v>3823.83</v>
      </c>
      <c r="F8" t="str">
        <f t="shared" si="0"/>
        <v>Dec</v>
      </c>
    </row>
    <row r="9" spans="1:6" x14ac:dyDescent="0.3">
      <c r="A9" t="s">
        <v>25</v>
      </c>
      <c r="B9" t="s">
        <v>26</v>
      </c>
      <c r="C9" t="s">
        <v>7</v>
      </c>
      <c r="D9" t="s">
        <v>8</v>
      </c>
      <c r="E9">
        <v>4418.12</v>
      </c>
      <c r="F9" t="str">
        <f t="shared" si="0"/>
        <v>Mar</v>
      </c>
    </row>
    <row r="10" spans="1:6" x14ac:dyDescent="0.3">
      <c r="A10" t="s">
        <v>27</v>
      </c>
      <c r="B10" t="s">
        <v>28</v>
      </c>
      <c r="C10" t="s">
        <v>7</v>
      </c>
      <c r="D10" t="s">
        <v>8</v>
      </c>
      <c r="E10">
        <v>4700.83</v>
      </c>
      <c r="F10" t="str">
        <f t="shared" si="0"/>
        <v>Aug</v>
      </c>
    </row>
    <row r="11" spans="1:6" x14ac:dyDescent="0.3">
      <c r="A11" t="s">
        <v>29</v>
      </c>
      <c r="B11" t="s">
        <v>30</v>
      </c>
      <c r="C11" t="s">
        <v>31</v>
      </c>
      <c r="D11" t="s">
        <v>12</v>
      </c>
      <c r="E11">
        <v>262.41000000000003</v>
      </c>
      <c r="F11" t="str">
        <f t="shared" si="0"/>
        <v>Aug</v>
      </c>
    </row>
    <row r="12" spans="1:6" x14ac:dyDescent="0.3">
      <c r="A12" t="s">
        <v>32</v>
      </c>
      <c r="B12" t="s">
        <v>33</v>
      </c>
      <c r="C12" t="s">
        <v>11</v>
      </c>
      <c r="D12" t="s">
        <v>15</v>
      </c>
      <c r="E12">
        <v>4418.79</v>
      </c>
      <c r="F12" t="str">
        <f t="shared" si="0"/>
        <v>Mar</v>
      </c>
    </row>
    <row r="13" spans="1:6" x14ac:dyDescent="0.3">
      <c r="A13" t="s">
        <v>34</v>
      </c>
      <c r="B13" t="s">
        <v>35</v>
      </c>
      <c r="C13" t="s">
        <v>7</v>
      </c>
      <c r="D13" t="s">
        <v>15</v>
      </c>
      <c r="E13">
        <v>114.8</v>
      </c>
      <c r="F13" t="str">
        <f t="shared" si="0"/>
        <v>Jan</v>
      </c>
    </row>
    <row r="14" spans="1:6" x14ac:dyDescent="0.3">
      <c r="A14" t="s">
        <v>36</v>
      </c>
      <c r="B14" t="s">
        <v>37</v>
      </c>
      <c r="C14" t="s">
        <v>11</v>
      </c>
      <c r="D14" t="s">
        <v>12</v>
      </c>
      <c r="E14">
        <v>1674.64</v>
      </c>
      <c r="F14" t="str">
        <f t="shared" si="0"/>
        <v>Apr</v>
      </c>
    </row>
    <row r="15" spans="1:6" x14ac:dyDescent="0.3">
      <c r="A15" t="s">
        <v>38</v>
      </c>
      <c r="B15" t="s">
        <v>39</v>
      </c>
      <c r="C15" t="s">
        <v>31</v>
      </c>
      <c r="D15" t="s">
        <v>15</v>
      </c>
      <c r="E15">
        <v>2603.2600000000002</v>
      </c>
      <c r="F15" t="str">
        <f t="shared" si="0"/>
        <v>Jan</v>
      </c>
    </row>
    <row r="16" spans="1:6" x14ac:dyDescent="0.3">
      <c r="A16" t="s">
        <v>40</v>
      </c>
      <c r="B16" t="s">
        <v>41</v>
      </c>
      <c r="C16" t="s">
        <v>31</v>
      </c>
      <c r="D16" t="s">
        <v>12</v>
      </c>
      <c r="E16">
        <v>3461.42</v>
      </c>
      <c r="F16" t="str">
        <f t="shared" si="0"/>
        <v>Nov</v>
      </c>
    </row>
    <row r="17" spans="1:6" x14ac:dyDescent="0.3">
      <c r="A17" t="s">
        <v>42</v>
      </c>
      <c r="B17" t="s">
        <v>43</v>
      </c>
      <c r="C17" t="s">
        <v>11</v>
      </c>
      <c r="D17" t="s">
        <v>15</v>
      </c>
      <c r="E17">
        <v>3323.45</v>
      </c>
      <c r="F17" t="str">
        <f t="shared" si="0"/>
        <v>Apr</v>
      </c>
    </row>
    <row r="18" spans="1:6" x14ac:dyDescent="0.3">
      <c r="A18" t="s">
        <v>44</v>
      </c>
      <c r="B18" t="s">
        <v>45</v>
      </c>
      <c r="C18" t="s">
        <v>7</v>
      </c>
      <c r="D18" t="s">
        <v>15</v>
      </c>
      <c r="E18">
        <v>3839.91</v>
      </c>
      <c r="F18" t="str">
        <f t="shared" si="0"/>
        <v>Dec</v>
      </c>
    </row>
    <row r="19" spans="1:6" x14ac:dyDescent="0.3">
      <c r="A19" t="s">
        <v>46</v>
      </c>
      <c r="B19" t="s">
        <v>47</v>
      </c>
      <c r="C19" t="s">
        <v>31</v>
      </c>
      <c r="D19" t="s">
        <v>15</v>
      </c>
      <c r="E19">
        <v>4997.79</v>
      </c>
      <c r="F19" t="str">
        <f t="shared" si="0"/>
        <v>Mar</v>
      </c>
    </row>
    <row r="20" spans="1:6" x14ac:dyDescent="0.3">
      <c r="A20" t="s">
        <v>48</v>
      </c>
      <c r="B20" t="s">
        <v>49</v>
      </c>
      <c r="C20" t="s">
        <v>18</v>
      </c>
      <c r="D20" t="s">
        <v>15</v>
      </c>
      <c r="E20">
        <v>3138.79</v>
      </c>
      <c r="F20" t="str">
        <f t="shared" si="0"/>
        <v>Mar</v>
      </c>
    </row>
    <row r="21" spans="1:6" x14ac:dyDescent="0.3">
      <c r="A21" t="s">
        <v>50</v>
      </c>
      <c r="B21" t="s">
        <v>51</v>
      </c>
      <c r="C21" t="s">
        <v>11</v>
      </c>
      <c r="D21" t="s">
        <v>12</v>
      </c>
      <c r="E21">
        <v>1605.37</v>
      </c>
      <c r="F21" t="str">
        <f t="shared" si="0"/>
        <v>Sep</v>
      </c>
    </row>
    <row r="22" spans="1:6" x14ac:dyDescent="0.3">
      <c r="A22" t="s">
        <v>52</v>
      </c>
      <c r="B22" t="s">
        <v>53</v>
      </c>
      <c r="C22" t="s">
        <v>31</v>
      </c>
      <c r="D22" t="s">
        <v>12</v>
      </c>
      <c r="E22">
        <v>988.52</v>
      </c>
      <c r="F22" t="str">
        <f t="shared" si="0"/>
        <v>Aug</v>
      </c>
    </row>
    <row r="23" spans="1:6" x14ac:dyDescent="0.3">
      <c r="A23" t="s">
        <v>54</v>
      </c>
      <c r="B23" t="s">
        <v>55</v>
      </c>
      <c r="C23" t="s">
        <v>31</v>
      </c>
      <c r="D23" t="s">
        <v>15</v>
      </c>
      <c r="E23">
        <v>4115.0200000000004</v>
      </c>
      <c r="F23" t="str">
        <f t="shared" si="0"/>
        <v>Jul</v>
      </c>
    </row>
    <row r="24" spans="1:6" x14ac:dyDescent="0.3">
      <c r="A24" t="s">
        <v>56</v>
      </c>
      <c r="B24" t="s">
        <v>57</v>
      </c>
      <c r="C24" t="s">
        <v>31</v>
      </c>
      <c r="D24" t="s">
        <v>8</v>
      </c>
      <c r="E24">
        <v>420.16</v>
      </c>
      <c r="F24" t="str">
        <f t="shared" si="0"/>
        <v>Jan</v>
      </c>
    </row>
    <row r="25" spans="1:6" x14ac:dyDescent="0.3">
      <c r="A25" t="s">
        <v>58</v>
      </c>
      <c r="B25" t="s">
        <v>59</v>
      </c>
      <c r="C25" t="s">
        <v>7</v>
      </c>
      <c r="D25" t="s">
        <v>12</v>
      </c>
      <c r="E25">
        <v>4609.4399999999996</v>
      </c>
      <c r="F25" t="str">
        <f t="shared" si="0"/>
        <v>Aug</v>
      </c>
    </row>
    <row r="26" spans="1:6" x14ac:dyDescent="0.3">
      <c r="A26" t="s">
        <v>60</v>
      </c>
      <c r="B26" t="s">
        <v>61</v>
      </c>
      <c r="C26" t="s">
        <v>7</v>
      </c>
      <c r="D26" t="s">
        <v>8</v>
      </c>
      <c r="E26">
        <v>1099.25</v>
      </c>
      <c r="F26" t="str">
        <f t="shared" si="0"/>
        <v>Nov</v>
      </c>
    </row>
    <row r="27" spans="1:6" x14ac:dyDescent="0.3">
      <c r="A27" t="s">
        <v>62</v>
      </c>
      <c r="B27" t="s">
        <v>63</v>
      </c>
      <c r="C27" t="s">
        <v>31</v>
      </c>
      <c r="D27" t="s">
        <v>15</v>
      </c>
      <c r="E27">
        <v>4516.07</v>
      </c>
      <c r="F27" t="str">
        <f t="shared" si="0"/>
        <v>Aug</v>
      </c>
    </row>
    <row r="28" spans="1:6" x14ac:dyDescent="0.3">
      <c r="A28" t="s">
        <v>64</v>
      </c>
      <c r="B28" t="s">
        <v>65</v>
      </c>
      <c r="C28" t="s">
        <v>18</v>
      </c>
      <c r="D28" t="s">
        <v>12</v>
      </c>
      <c r="E28">
        <v>852.21</v>
      </c>
      <c r="F28" t="str">
        <f t="shared" si="0"/>
        <v>Feb</v>
      </c>
    </row>
    <row r="29" spans="1:6" x14ac:dyDescent="0.3">
      <c r="A29" t="s">
        <v>66</v>
      </c>
      <c r="B29" t="s">
        <v>67</v>
      </c>
      <c r="C29" t="s">
        <v>11</v>
      </c>
      <c r="D29" t="s">
        <v>15</v>
      </c>
      <c r="E29">
        <v>1831.32</v>
      </c>
      <c r="F29" t="str">
        <f t="shared" si="0"/>
        <v>Jul</v>
      </c>
    </row>
    <row r="30" spans="1:6" x14ac:dyDescent="0.3">
      <c r="A30" t="s">
        <v>68</v>
      </c>
      <c r="B30" t="s">
        <v>69</v>
      </c>
      <c r="C30" t="s">
        <v>7</v>
      </c>
      <c r="D30" t="s">
        <v>8</v>
      </c>
      <c r="E30">
        <v>2226.9</v>
      </c>
      <c r="F30" t="str">
        <f t="shared" si="0"/>
        <v>Dec</v>
      </c>
    </row>
    <row r="31" spans="1:6" x14ac:dyDescent="0.3">
      <c r="A31" t="s">
        <v>70</v>
      </c>
      <c r="B31" t="s">
        <v>71</v>
      </c>
      <c r="C31" t="s">
        <v>7</v>
      </c>
      <c r="D31" t="s">
        <v>15</v>
      </c>
      <c r="E31">
        <v>3160.3</v>
      </c>
      <c r="F31" t="str">
        <f t="shared" si="0"/>
        <v>Jun</v>
      </c>
    </row>
    <row r="32" spans="1:6" x14ac:dyDescent="0.3">
      <c r="A32" t="s">
        <v>72</v>
      </c>
      <c r="B32" t="s">
        <v>73</v>
      </c>
      <c r="C32" t="s">
        <v>11</v>
      </c>
      <c r="D32" t="s">
        <v>8</v>
      </c>
      <c r="E32">
        <v>1118.32</v>
      </c>
      <c r="F32" t="str">
        <f t="shared" si="0"/>
        <v>Jan</v>
      </c>
    </row>
    <row r="33" spans="1:6" x14ac:dyDescent="0.3">
      <c r="A33" t="s">
        <v>74</v>
      </c>
      <c r="B33" t="s">
        <v>75</v>
      </c>
      <c r="C33" t="s">
        <v>18</v>
      </c>
      <c r="D33" t="s">
        <v>12</v>
      </c>
      <c r="E33">
        <v>3743.41</v>
      </c>
      <c r="F33" t="str">
        <f t="shared" si="0"/>
        <v>May</v>
      </c>
    </row>
    <row r="34" spans="1:6" x14ac:dyDescent="0.3">
      <c r="A34" t="s">
        <v>76</v>
      </c>
      <c r="B34" t="s">
        <v>73</v>
      </c>
      <c r="C34" t="s">
        <v>7</v>
      </c>
      <c r="D34" t="s">
        <v>15</v>
      </c>
      <c r="E34">
        <v>4331.97</v>
      </c>
      <c r="F34" t="str">
        <f t="shared" si="0"/>
        <v>Jan</v>
      </c>
    </row>
    <row r="35" spans="1:6" x14ac:dyDescent="0.3">
      <c r="A35" t="s">
        <v>77</v>
      </c>
      <c r="B35" t="s">
        <v>78</v>
      </c>
      <c r="C35" t="s">
        <v>11</v>
      </c>
      <c r="D35" t="s">
        <v>8</v>
      </c>
      <c r="E35">
        <v>4987.4399999999996</v>
      </c>
      <c r="F35" t="str">
        <f t="shared" si="0"/>
        <v>Jan</v>
      </c>
    </row>
    <row r="36" spans="1:6" x14ac:dyDescent="0.3">
      <c r="A36" t="s">
        <v>79</v>
      </c>
      <c r="B36" t="s">
        <v>80</v>
      </c>
      <c r="C36" t="s">
        <v>31</v>
      </c>
      <c r="D36" t="s">
        <v>12</v>
      </c>
      <c r="E36">
        <v>1629.53</v>
      </c>
      <c r="F36" t="str">
        <f t="shared" si="0"/>
        <v>Mar</v>
      </c>
    </row>
    <row r="37" spans="1:6" x14ac:dyDescent="0.3">
      <c r="A37" t="s">
        <v>81</v>
      </c>
      <c r="B37" t="s">
        <v>82</v>
      </c>
      <c r="C37" t="s">
        <v>11</v>
      </c>
      <c r="D37" t="s">
        <v>12</v>
      </c>
      <c r="E37">
        <v>2388.35</v>
      </c>
      <c r="F37" t="str">
        <f t="shared" si="0"/>
        <v>Oct</v>
      </c>
    </row>
    <row r="38" spans="1:6" x14ac:dyDescent="0.3">
      <c r="A38" t="s">
        <v>83</v>
      </c>
      <c r="B38" t="s">
        <v>84</v>
      </c>
      <c r="C38" t="s">
        <v>11</v>
      </c>
      <c r="D38" t="s">
        <v>8</v>
      </c>
      <c r="E38">
        <v>1735.27</v>
      </c>
      <c r="F38" t="str">
        <f t="shared" si="0"/>
        <v>Sep</v>
      </c>
    </row>
    <row r="39" spans="1:6" x14ac:dyDescent="0.3">
      <c r="A39" t="s">
        <v>85</v>
      </c>
      <c r="B39" t="s">
        <v>17</v>
      </c>
      <c r="C39" t="s">
        <v>18</v>
      </c>
      <c r="D39" t="s">
        <v>8</v>
      </c>
      <c r="E39">
        <v>4299.5600000000004</v>
      </c>
      <c r="F39" t="str">
        <f t="shared" si="0"/>
        <v>Feb</v>
      </c>
    </row>
    <row r="40" spans="1:6" x14ac:dyDescent="0.3">
      <c r="A40" t="s">
        <v>86</v>
      </c>
      <c r="B40" t="s">
        <v>49</v>
      </c>
      <c r="C40" t="s">
        <v>18</v>
      </c>
      <c r="D40" t="s">
        <v>12</v>
      </c>
      <c r="E40">
        <v>1506.76</v>
      </c>
      <c r="F40" t="str">
        <f t="shared" si="0"/>
        <v>Mar</v>
      </c>
    </row>
    <row r="41" spans="1:6" x14ac:dyDescent="0.3">
      <c r="A41" t="s">
        <v>87</v>
      </c>
      <c r="B41" t="s">
        <v>88</v>
      </c>
      <c r="C41" t="s">
        <v>7</v>
      </c>
      <c r="D41" t="s">
        <v>15</v>
      </c>
      <c r="E41">
        <v>2512.48</v>
      </c>
      <c r="F41" t="str">
        <f t="shared" si="0"/>
        <v>Jun</v>
      </c>
    </row>
    <row r="42" spans="1:6" x14ac:dyDescent="0.3">
      <c r="A42" t="s">
        <v>89</v>
      </c>
      <c r="B42" t="s">
        <v>90</v>
      </c>
      <c r="C42" t="s">
        <v>18</v>
      </c>
      <c r="D42" t="s">
        <v>15</v>
      </c>
      <c r="E42">
        <v>3963.3</v>
      </c>
      <c r="F42" t="str">
        <f t="shared" si="0"/>
        <v>Aug</v>
      </c>
    </row>
    <row r="43" spans="1:6" x14ac:dyDescent="0.3">
      <c r="A43" t="s">
        <v>91</v>
      </c>
      <c r="B43" t="s">
        <v>90</v>
      </c>
      <c r="C43" t="s">
        <v>18</v>
      </c>
      <c r="D43" t="s">
        <v>12</v>
      </c>
      <c r="E43">
        <v>2536.48</v>
      </c>
      <c r="F43" t="str">
        <f t="shared" si="0"/>
        <v>Aug</v>
      </c>
    </row>
    <row r="44" spans="1:6" x14ac:dyDescent="0.3">
      <c r="A44" t="s">
        <v>92</v>
      </c>
      <c r="B44" t="s">
        <v>93</v>
      </c>
      <c r="C44" t="s">
        <v>18</v>
      </c>
      <c r="D44" t="s">
        <v>8</v>
      </c>
      <c r="E44">
        <v>4209.05</v>
      </c>
      <c r="F44" t="str">
        <f t="shared" si="0"/>
        <v>Oct</v>
      </c>
    </row>
    <row r="45" spans="1:6" x14ac:dyDescent="0.3">
      <c r="A45" t="s">
        <v>94</v>
      </c>
      <c r="B45" t="s">
        <v>95</v>
      </c>
      <c r="C45" t="s">
        <v>7</v>
      </c>
      <c r="D45" t="s">
        <v>12</v>
      </c>
      <c r="E45">
        <v>2671.53</v>
      </c>
      <c r="F45" t="str">
        <f t="shared" si="0"/>
        <v>Apr</v>
      </c>
    </row>
    <row r="46" spans="1:6" x14ac:dyDescent="0.3">
      <c r="A46" t="s">
        <v>96</v>
      </c>
      <c r="B46" t="s">
        <v>97</v>
      </c>
      <c r="C46" t="s">
        <v>7</v>
      </c>
      <c r="D46" t="s">
        <v>8</v>
      </c>
      <c r="E46">
        <v>2097.58</v>
      </c>
      <c r="F46" t="str">
        <f t="shared" si="0"/>
        <v>Aug</v>
      </c>
    </row>
    <row r="47" spans="1:6" x14ac:dyDescent="0.3">
      <c r="A47" t="s">
        <v>98</v>
      </c>
      <c r="B47" t="s">
        <v>99</v>
      </c>
      <c r="C47" t="s">
        <v>11</v>
      </c>
      <c r="D47" t="s">
        <v>8</v>
      </c>
      <c r="E47">
        <v>614.91999999999996</v>
      </c>
      <c r="F47" t="str">
        <f t="shared" si="0"/>
        <v>Aug</v>
      </c>
    </row>
    <row r="48" spans="1:6" x14ac:dyDescent="0.3">
      <c r="A48" t="s">
        <v>100</v>
      </c>
      <c r="B48" t="s">
        <v>101</v>
      </c>
      <c r="C48" t="s">
        <v>11</v>
      </c>
      <c r="D48" t="s">
        <v>8</v>
      </c>
      <c r="E48">
        <v>2773.68</v>
      </c>
      <c r="F48" t="str">
        <f t="shared" si="0"/>
        <v>Sep</v>
      </c>
    </row>
    <row r="49" spans="1:9" x14ac:dyDescent="0.3">
      <c r="A49" t="s">
        <v>102</v>
      </c>
      <c r="B49" t="s">
        <v>103</v>
      </c>
      <c r="C49" t="s">
        <v>7</v>
      </c>
      <c r="D49" t="s">
        <v>8</v>
      </c>
      <c r="E49">
        <v>104.09</v>
      </c>
      <c r="F49" t="str">
        <f t="shared" si="0"/>
        <v>Jun</v>
      </c>
    </row>
    <row r="50" spans="1:9" x14ac:dyDescent="0.3">
      <c r="A50" t="s">
        <v>104</v>
      </c>
      <c r="B50" t="s">
        <v>105</v>
      </c>
      <c r="C50" t="s">
        <v>31</v>
      </c>
      <c r="D50" t="s">
        <v>12</v>
      </c>
      <c r="E50">
        <v>3206.87</v>
      </c>
      <c r="F50" t="str">
        <f t="shared" si="0"/>
        <v>Jun</v>
      </c>
    </row>
    <row r="51" spans="1:9" x14ac:dyDescent="0.3">
      <c r="A51" t="s">
        <v>106</v>
      </c>
      <c r="B51" t="s">
        <v>107</v>
      </c>
      <c r="C51" t="s">
        <v>7</v>
      </c>
      <c r="D51" t="s">
        <v>12</v>
      </c>
      <c r="E51">
        <v>2670.54</v>
      </c>
      <c r="F51" t="str">
        <f t="shared" si="0"/>
        <v>Jan</v>
      </c>
    </row>
    <row r="52" spans="1:9" x14ac:dyDescent="0.3">
      <c r="A52" t="s">
        <v>108</v>
      </c>
      <c r="B52" t="s">
        <v>109</v>
      </c>
      <c r="C52" t="s">
        <v>7</v>
      </c>
      <c r="D52" t="s">
        <v>8</v>
      </c>
      <c r="E52">
        <v>3543.74</v>
      </c>
      <c r="F52" t="str">
        <f t="shared" si="0"/>
        <v>Jun</v>
      </c>
    </row>
    <row r="53" spans="1:9" x14ac:dyDescent="0.3">
      <c r="A53" t="s">
        <v>110</v>
      </c>
      <c r="B53" t="s">
        <v>111</v>
      </c>
      <c r="C53" t="s">
        <v>18</v>
      </c>
      <c r="D53" t="s">
        <v>15</v>
      </c>
      <c r="E53">
        <v>1655.33</v>
      </c>
      <c r="F53" t="str">
        <f t="shared" si="0"/>
        <v>Aug</v>
      </c>
    </row>
    <row r="54" spans="1:9" x14ac:dyDescent="0.3">
      <c r="A54" t="s">
        <v>112</v>
      </c>
      <c r="B54" t="s">
        <v>113</v>
      </c>
      <c r="C54" t="s">
        <v>18</v>
      </c>
      <c r="D54" t="s">
        <v>12</v>
      </c>
      <c r="E54">
        <v>2177.77</v>
      </c>
      <c r="F54" t="str">
        <f t="shared" si="0"/>
        <v>Oct</v>
      </c>
    </row>
    <row r="55" spans="1:9" x14ac:dyDescent="0.3">
      <c r="A55" t="s">
        <v>114</v>
      </c>
      <c r="B55" t="s">
        <v>115</v>
      </c>
      <c r="C55" t="s">
        <v>7</v>
      </c>
      <c r="D55" t="s">
        <v>8</v>
      </c>
      <c r="E55">
        <v>3894.89</v>
      </c>
      <c r="F55" t="str">
        <f t="shared" si="0"/>
        <v>Apr</v>
      </c>
    </row>
    <row r="56" spans="1:9" x14ac:dyDescent="0.3">
      <c r="A56" t="s">
        <v>116</v>
      </c>
      <c r="B56" t="s">
        <v>117</v>
      </c>
      <c r="C56" t="s">
        <v>31</v>
      </c>
      <c r="D56" t="s">
        <v>8</v>
      </c>
      <c r="E56">
        <v>1338.39</v>
      </c>
      <c r="F56" t="str">
        <f t="shared" si="0"/>
        <v>Dec</v>
      </c>
    </row>
    <row r="57" spans="1:9" x14ac:dyDescent="0.3">
      <c r="A57" t="s">
        <v>118</v>
      </c>
      <c r="B57" t="s">
        <v>119</v>
      </c>
      <c r="C57" t="s">
        <v>31</v>
      </c>
      <c r="D57" t="s">
        <v>12</v>
      </c>
      <c r="E57">
        <v>157.12</v>
      </c>
      <c r="F57" t="str">
        <f t="shared" si="0"/>
        <v>Jan</v>
      </c>
    </row>
    <row r="58" spans="1:9" x14ac:dyDescent="0.3">
      <c r="A58" t="s">
        <v>120</v>
      </c>
      <c r="B58" t="s">
        <v>121</v>
      </c>
      <c r="C58" t="s">
        <v>31</v>
      </c>
      <c r="D58" t="s">
        <v>8</v>
      </c>
      <c r="E58">
        <v>3217.29</v>
      </c>
      <c r="F58" t="str">
        <f t="shared" si="0"/>
        <v>Aug</v>
      </c>
    </row>
    <row r="59" spans="1:9" x14ac:dyDescent="0.3">
      <c r="A59" t="s">
        <v>122</v>
      </c>
      <c r="B59" t="s">
        <v>39</v>
      </c>
      <c r="C59" t="s">
        <v>18</v>
      </c>
      <c r="D59" t="s">
        <v>8</v>
      </c>
      <c r="E59">
        <v>4752.6000000000004</v>
      </c>
      <c r="F59" t="str">
        <f t="shared" si="0"/>
        <v>Jan</v>
      </c>
    </row>
    <row r="60" spans="1:9" x14ac:dyDescent="0.3">
      <c r="A60" t="s">
        <v>123</v>
      </c>
      <c r="B60" t="s">
        <v>124</v>
      </c>
      <c r="C60" t="s">
        <v>7</v>
      </c>
      <c r="D60" t="s">
        <v>8</v>
      </c>
      <c r="E60">
        <v>2985.97</v>
      </c>
      <c r="F60" t="str">
        <f t="shared" si="0"/>
        <v>Dec</v>
      </c>
    </row>
    <row r="61" spans="1:9" x14ac:dyDescent="0.3">
      <c r="A61" t="s">
        <v>125</v>
      </c>
      <c r="B61" t="s">
        <v>126</v>
      </c>
      <c r="C61" t="s">
        <v>11</v>
      </c>
      <c r="D61" t="s">
        <v>12</v>
      </c>
      <c r="E61">
        <v>3991.25</v>
      </c>
      <c r="F61" t="str">
        <f t="shared" si="0"/>
        <v>Apr</v>
      </c>
      <c r="H61" s="1" t="s">
        <v>371</v>
      </c>
      <c r="I61" t="s">
        <v>373</v>
      </c>
    </row>
    <row r="62" spans="1:9" x14ac:dyDescent="0.3">
      <c r="A62" t="s">
        <v>127</v>
      </c>
      <c r="B62" t="s">
        <v>128</v>
      </c>
      <c r="C62" t="s">
        <v>11</v>
      </c>
      <c r="D62" t="s">
        <v>8</v>
      </c>
      <c r="E62">
        <v>1260.0899999999999</v>
      </c>
      <c r="F62" t="str">
        <f t="shared" si="0"/>
        <v>Oct</v>
      </c>
      <c r="H62" s="2" t="s">
        <v>375</v>
      </c>
      <c r="I62" s="3">
        <v>60954.960000000006</v>
      </c>
    </row>
    <row r="63" spans="1:9" x14ac:dyDescent="0.3">
      <c r="A63" t="s">
        <v>129</v>
      </c>
      <c r="B63" t="s">
        <v>130</v>
      </c>
      <c r="C63" t="s">
        <v>31</v>
      </c>
      <c r="D63" t="s">
        <v>12</v>
      </c>
      <c r="E63">
        <v>976.16</v>
      </c>
      <c r="F63" t="str">
        <f t="shared" si="0"/>
        <v>May</v>
      </c>
      <c r="H63" s="2" t="s">
        <v>376</v>
      </c>
      <c r="I63" s="3">
        <v>37643.01</v>
      </c>
    </row>
    <row r="64" spans="1:9" x14ac:dyDescent="0.3">
      <c r="A64" t="s">
        <v>131</v>
      </c>
      <c r="B64" t="s">
        <v>132</v>
      </c>
      <c r="C64" t="s">
        <v>31</v>
      </c>
      <c r="D64" t="s">
        <v>8</v>
      </c>
      <c r="E64">
        <v>2176.7399999999998</v>
      </c>
      <c r="F64" t="str">
        <f t="shared" si="0"/>
        <v>Feb</v>
      </c>
      <c r="H64" s="2" t="s">
        <v>377</v>
      </c>
      <c r="I64" s="3">
        <v>59441.79</v>
      </c>
    </row>
    <row r="65" spans="1:9" x14ac:dyDescent="0.3">
      <c r="A65" t="s">
        <v>133</v>
      </c>
      <c r="B65" t="s">
        <v>134</v>
      </c>
      <c r="C65" t="s">
        <v>11</v>
      </c>
      <c r="D65" t="s">
        <v>12</v>
      </c>
      <c r="E65">
        <v>2269.0300000000002</v>
      </c>
      <c r="F65" t="str">
        <f t="shared" si="0"/>
        <v>Oct</v>
      </c>
      <c r="H65" s="2" t="s">
        <v>378</v>
      </c>
      <c r="I65" s="3">
        <v>45887.64</v>
      </c>
    </row>
    <row r="66" spans="1:9" x14ac:dyDescent="0.3">
      <c r="A66" t="s">
        <v>135</v>
      </c>
      <c r="B66" t="s">
        <v>136</v>
      </c>
      <c r="C66" t="s">
        <v>18</v>
      </c>
      <c r="D66" t="s">
        <v>15</v>
      </c>
      <c r="E66">
        <v>589.41999999999996</v>
      </c>
      <c r="F66" t="str">
        <f t="shared" si="0"/>
        <v>Nov</v>
      </c>
      <c r="H66" s="2" t="s">
        <v>379</v>
      </c>
      <c r="I66" s="3">
        <v>38082.520000000004</v>
      </c>
    </row>
    <row r="67" spans="1:9" x14ac:dyDescent="0.3">
      <c r="A67" t="s">
        <v>137</v>
      </c>
      <c r="B67" t="s">
        <v>138</v>
      </c>
      <c r="C67" t="s">
        <v>11</v>
      </c>
      <c r="D67" t="s">
        <v>15</v>
      </c>
      <c r="E67">
        <v>4151.3999999999996</v>
      </c>
      <c r="F67" t="str">
        <f t="shared" ref="F67:F130" si="1">TEXT(B67,"mmm")</f>
        <v>Jun</v>
      </c>
      <c r="H67" s="2" t="s">
        <v>380</v>
      </c>
      <c r="I67" s="3">
        <v>31513.000000000004</v>
      </c>
    </row>
    <row r="68" spans="1:9" x14ac:dyDescent="0.3">
      <c r="A68" t="s">
        <v>139</v>
      </c>
      <c r="B68" t="s">
        <v>140</v>
      </c>
      <c r="C68" t="s">
        <v>31</v>
      </c>
      <c r="D68" t="s">
        <v>15</v>
      </c>
      <c r="E68">
        <v>1872.11</v>
      </c>
      <c r="F68" t="str">
        <f t="shared" si="1"/>
        <v>Dec</v>
      </c>
      <c r="H68" s="2" t="s">
        <v>381</v>
      </c>
      <c r="I68" s="3">
        <v>32164.09</v>
      </c>
    </row>
    <row r="69" spans="1:9" x14ac:dyDescent="0.3">
      <c r="A69" t="s">
        <v>141</v>
      </c>
      <c r="B69" t="s">
        <v>142</v>
      </c>
      <c r="C69" t="s">
        <v>31</v>
      </c>
      <c r="D69" t="s">
        <v>15</v>
      </c>
      <c r="E69">
        <v>1333.11</v>
      </c>
      <c r="F69" t="str">
        <f t="shared" si="1"/>
        <v>Aug</v>
      </c>
      <c r="H69" s="2" t="s">
        <v>382</v>
      </c>
      <c r="I69" s="3">
        <v>55129.770000000004</v>
      </c>
    </row>
    <row r="70" spans="1:9" x14ac:dyDescent="0.3">
      <c r="A70" t="s">
        <v>143</v>
      </c>
      <c r="B70" t="s">
        <v>55</v>
      </c>
      <c r="C70" t="s">
        <v>18</v>
      </c>
      <c r="D70" t="s">
        <v>12</v>
      </c>
      <c r="E70">
        <v>2881.18</v>
      </c>
      <c r="F70" t="str">
        <f t="shared" si="1"/>
        <v>Jul</v>
      </c>
      <c r="H70" s="2" t="s">
        <v>383</v>
      </c>
      <c r="I70" s="3">
        <v>28344.760000000002</v>
      </c>
    </row>
    <row r="71" spans="1:9" x14ac:dyDescent="0.3">
      <c r="A71" t="s">
        <v>144</v>
      </c>
      <c r="B71" t="s">
        <v>47</v>
      </c>
      <c r="C71" t="s">
        <v>18</v>
      </c>
      <c r="D71" t="s">
        <v>15</v>
      </c>
      <c r="E71">
        <v>670.37</v>
      </c>
      <c r="F71" t="str">
        <f t="shared" si="1"/>
        <v>Mar</v>
      </c>
      <c r="H71" s="2" t="s">
        <v>384</v>
      </c>
      <c r="I71" s="3">
        <v>44461.170000000006</v>
      </c>
    </row>
    <row r="72" spans="1:9" x14ac:dyDescent="0.3">
      <c r="A72" t="s">
        <v>145</v>
      </c>
      <c r="B72" t="s">
        <v>146</v>
      </c>
      <c r="C72" t="s">
        <v>18</v>
      </c>
      <c r="D72" t="s">
        <v>15</v>
      </c>
      <c r="E72">
        <v>3013.77</v>
      </c>
      <c r="F72" t="str">
        <f t="shared" si="1"/>
        <v>Jan</v>
      </c>
      <c r="H72" s="2" t="s">
        <v>385</v>
      </c>
      <c r="I72" s="3">
        <v>54709.97</v>
      </c>
    </row>
    <row r="73" spans="1:9" x14ac:dyDescent="0.3">
      <c r="A73" t="s">
        <v>147</v>
      </c>
      <c r="B73" t="s">
        <v>148</v>
      </c>
      <c r="C73" t="s">
        <v>7</v>
      </c>
      <c r="D73" t="s">
        <v>8</v>
      </c>
      <c r="E73">
        <v>4859.47</v>
      </c>
      <c r="F73" t="str">
        <f t="shared" si="1"/>
        <v>Nov</v>
      </c>
      <c r="H73" s="2" t="s">
        <v>386</v>
      </c>
      <c r="I73" s="3">
        <v>45604.80999999999</v>
      </c>
    </row>
    <row r="74" spans="1:9" x14ac:dyDescent="0.3">
      <c r="A74" t="s">
        <v>149</v>
      </c>
      <c r="B74" t="s">
        <v>150</v>
      </c>
      <c r="C74" t="s">
        <v>7</v>
      </c>
      <c r="D74" t="s">
        <v>15</v>
      </c>
      <c r="E74">
        <v>3368.47</v>
      </c>
      <c r="F74" t="str">
        <f t="shared" si="1"/>
        <v>Mar</v>
      </c>
      <c r="H74" s="2" t="s">
        <v>372</v>
      </c>
      <c r="I74" s="3">
        <v>533937.49</v>
      </c>
    </row>
    <row r="75" spans="1:9" x14ac:dyDescent="0.3">
      <c r="A75" t="s">
        <v>151</v>
      </c>
      <c r="B75" t="s">
        <v>152</v>
      </c>
      <c r="C75" t="s">
        <v>7</v>
      </c>
      <c r="D75" t="s">
        <v>15</v>
      </c>
      <c r="E75">
        <v>717.94</v>
      </c>
      <c r="F75" t="str">
        <f t="shared" si="1"/>
        <v>Apr</v>
      </c>
    </row>
    <row r="76" spans="1:9" x14ac:dyDescent="0.3">
      <c r="A76" t="s">
        <v>153</v>
      </c>
      <c r="B76" t="s">
        <v>126</v>
      </c>
      <c r="C76" t="s">
        <v>11</v>
      </c>
      <c r="D76" t="s">
        <v>15</v>
      </c>
      <c r="E76">
        <v>981.3</v>
      </c>
      <c r="F76" t="str">
        <f t="shared" si="1"/>
        <v>Apr</v>
      </c>
    </row>
    <row r="77" spans="1:9" x14ac:dyDescent="0.3">
      <c r="A77" t="s">
        <v>154</v>
      </c>
      <c r="B77" t="s">
        <v>155</v>
      </c>
      <c r="C77" t="s">
        <v>31</v>
      </c>
      <c r="D77" t="s">
        <v>8</v>
      </c>
      <c r="E77">
        <v>3167.7</v>
      </c>
      <c r="F77" t="str">
        <f t="shared" si="1"/>
        <v>Mar</v>
      </c>
    </row>
    <row r="78" spans="1:9" x14ac:dyDescent="0.3">
      <c r="A78" t="s">
        <v>156</v>
      </c>
      <c r="B78" t="s">
        <v>53</v>
      </c>
      <c r="C78" t="s">
        <v>18</v>
      </c>
      <c r="D78" t="s">
        <v>12</v>
      </c>
      <c r="E78">
        <v>737.45</v>
      </c>
      <c r="F78" t="str">
        <f t="shared" si="1"/>
        <v>Aug</v>
      </c>
    </row>
    <row r="79" spans="1:9" x14ac:dyDescent="0.3">
      <c r="A79" t="s">
        <v>157</v>
      </c>
      <c r="B79" t="s">
        <v>158</v>
      </c>
      <c r="C79" t="s">
        <v>11</v>
      </c>
      <c r="D79" t="s">
        <v>12</v>
      </c>
      <c r="E79">
        <v>3738.81</v>
      </c>
      <c r="F79" t="str">
        <f t="shared" si="1"/>
        <v>Sep</v>
      </c>
    </row>
    <row r="80" spans="1:9" x14ac:dyDescent="0.3">
      <c r="A80" t="s">
        <v>159</v>
      </c>
      <c r="B80" t="s">
        <v>160</v>
      </c>
      <c r="C80" t="s">
        <v>7</v>
      </c>
      <c r="D80" t="s">
        <v>12</v>
      </c>
      <c r="E80">
        <v>4799.71</v>
      </c>
      <c r="F80" t="str">
        <f t="shared" si="1"/>
        <v>Nov</v>
      </c>
    </row>
    <row r="81" spans="1:6" x14ac:dyDescent="0.3">
      <c r="A81" t="s">
        <v>161</v>
      </c>
      <c r="B81" t="s">
        <v>162</v>
      </c>
      <c r="C81" t="s">
        <v>18</v>
      </c>
      <c r="D81" t="s">
        <v>8</v>
      </c>
      <c r="E81">
        <v>4019.64</v>
      </c>
      <c r="F81" t="str">
        <f t="shared" si="1"/>
        <v>Nov</v>
      </c>
    </row>
    <row r="82" spans="1:6" x14ac:dyDescent="0.3">
      <c r="A82" t="s">
        <v>163</v>
      </c>
      <c r="B82" t="s">
        <v>164</v>
      </c>
      <c r="C82" t="s">
        <v>31</v>
      </c>
      <c r="D82" t="s">
        <v>15</v>
      </c>
      <c r="E82">
        <v>1981.37</v>
      </c>
      <c r="F82" t="str">
        <f t="shared" si="1"/>
        <v>Mar</v>
      </c>
    </row>
    <row r="83" spans="1:6" x14ac:dyDescent="0.3">
      <c r="A83" t="s">
        <v>165</v>
      </c>
      <c r="B83" t="s">
        <v>166</v>
      </c>
      <c r="C83" t="s">
        <v>7</v>
      </c>
      <c r="D83" t="s">
        <v>8</v>
      </c>
      <c r="E83">
        <v>509.52</v>
      </c>
      <c r="F83" t="str">
        <f t="shared" si="1"/>
        <v>Jan</v>
      </c>
    </row>
    <row r="84" spans="1:6" x14ac:dyDescent="0.3">
      <c r="A84" t="s">
        <v>167</v>
      </c>
      <c r="B84" t="s">
        <v>168</v>
      </c>
      <c r="C84" t="s">
        <v>18</v>
      </c>
      <c r="D84" t="s">
        <v>15</v>
      </c>
      <c r="E84">
        <v>3927.84</v>
      </c>
      <c r="F84" t="str">
        <f t="shared" si="1"/>
        <v>Jan</v>
      </c>
    </row>
    <row r="85" spans="1:6" x14ac:dyDescent="0.3">
      <c r="A85" t="s">
        <v>169</v>
      </c>
      <c r="B85" t="s">
        <v>73</v>
      </c>
      <c r="C85" t="s">
        <v>11</v>
      </c>
      <c r="D85" t="s">
        <v>8</v>
      </c>
      <c r="E85">
        <v>2223.69</v>
      </c>
      <c r="F85" t="str">
        <f t="shared" si="1"/>
        <v>Jan</v>
      </c>
    </row>
    <row r="86" spans="1:6" x14ac:dyDescent="0.3">
      <c r="A86" t="s">
        <v>170</v>
      </c>
      <c r="B86" t="s">
        <v>171</v>
      </c>
      <c r="C86" t="s">
        <v>11</v>
      </c>
      <c r="D86" t="s">
        <v>8</v>
      </c>
      <c r="E86">
        <v>3320.05</v>
      </c>
      <c r="F86" t="str">
        <f t="shared" si="1"/>
        <v>Oct</v>
      </c>
    </row>
    <row r="87" spans="1:6" x14ac:dyDescent="0.3">
      <c r="A87" t="s">
        <v>172</v>
      </c>
      <c r="B87" t="s">
        <v>173</v>
      </c>
      <c r="C87" t="s">
        <v>31</v>
      </c>
      <c r="D87" t="s">
        <v>15</v>
      </c>
      <c r="E87">
        <v>1629.26</v>
      </c>
      <c r="F87" t="str">
        <f t="shared" si="1"/>
        <v>Mar</v>
      </c>
    </row>
    <row r="88" spans="1:6" x14ac:dyDescent="0.3">
      <c r="A88" t="s">
        <v>174</v>
      </c>
      <c r="B88" t="s">
        <v>175</v>
      </c>
      <c r="C88" t="s">
        <v>11</v>
      </c>
      <c r="D88" t="s">
        <v>15</v>
      </c>
      <c r="E88">
        <v>1813.18</v>
      </c>
      <c r="F88" t="str">
        <f t="shared" si="1"/>
        <v>Aug</v>
      </c>
    </row>
    <row r="89" spans="1:6" x14ac:dyDescent="0.3">
      <c r="A89" t="s">
        <v>176</v>
      </c>
      <c r="B89" t="s">
        <v>177</v>
      </c>
      <c r="C89" t="s">
        <v>11</v>
      </c>
      <c r="D89" t="s">
        <v>15</v>
      </c>
      <c r="E89">
        <v>3347.9</v>
      </c>
      <c r="F89" t="str">
        <f t="shared" si="1"/>
        <v>Jan</v>
      </c>
    </row>
    <row r="90" spans="1:6" x14ac:dyDescent="0.3">
      <c r="A90" t="s">
        <v>178</v>
      </c>
      <c r="B90" t="s">
        <v>179</v>
      </c>
      <c r="C90" t="s">
        <v>18</v>
      </c>
      <c r="D90" t="s">
        <v>15</v>
      </c>
      <c r="E90">
        <v>4420.8</v>
      </c>
      <c r="F90" t="str">
        <f t="shared" si="1"/>
        <v>Apr</v>
      </c>
    </row>
    <row r="91" spans="1:6" x14ac:dyDescent="0.3">
      <c r="A91" t="s">
        <v>180</v>
      </c>
      <c r="B91" t="s">
        <v>181</v>
      </c>
      <c r="C91" t="s">
        <v>11</v>
      </c>
      <c r="D91" t="s">
        <v>12</v>
      </c>
      <c r="E91">
        <v>2824.76</v>
      </c>
      <c r="F91" t="str">
        <f t="shared" si="1"/>
        <v>Jan</v>
      </c>
    </row>
    <row r="92" spans="1:6" x14ac:dyDescent="0.3">
      <c r="A92" t="s">
        <v>182</v>
      </c>
      <c r="B92" t="s">
        <v>183</v>
      </c>
      <c r="C92" t="s">
        <v>31</v>
      </c>
      <c r="D92" t="s">
        <v>8</v>
      </c>
      <c r="E92">
        <v>4293.76</v>
      </c>
      <c r="F92" t="str">
        <f t="shared" si="1"/>
        <v>Aug</v>
      </c>
    </row>
    <row r="93" spans="1:6" x14ac:dyDescent="0.3">
      <c r="A93" t="s">
        <v>184</v>
      </c>
      <c r="B93" t="s">
        <v>185</v>
      </c>
      <c r="C93" t="s">
        <v>31</v>
      </c>
      <c r="D93" t="s">
        <v>12</v>
      </c>
      <c r="E93">
        <v>2958.06</v>
      </c>
      <c r="F93" t="str">
        <f t="shared" si="1"/>
        <v>Dec</v>
      </c>
    </row>
    <row r="94" spans="1:6" x14ac:dyDescent="0.3">
      <c r="A94" t="s">
        <v>186</v>
      </c>
      <c r="B94" t="s">
        <v>187</v>
      </c>
      <c r="C94" t="s">
        <v>7</v>
      </c>
      <c r="D94" t="s">
        <v>15</v>
      </c>
      <c r="E94">
        <v>343.02</v>
      </c>
      <c r="F94" t="str">
        <f t="shared" si="1"/>
        <v>Apr</v>
      </c>
    </row>
    <row r="95" spans="1:6" x14ac:dyDescent="0.3">
      <c r="A95" t="s">
        <v>188</v>
      </c>
      <c r="B95" t="s">
        <v>189</v>
      </c>
      <c r="C95" t="s">
        <v>18</v>
      </c>
      <c r="D95" t="s">
        <v>12</v>
      </c>
      <c r="E95">
        <v>4827.8599999999997</v>
      </c>
      <c r="F95" t="str">
        <f t="shared" si="1"/>
        <v>May</v>
      </c>
    </row>
    <row r="96" spans="1:6" x14ac:dyDescent="0.3">
      <c r="A96" t="s">
        <v>190</v>
      </c>
      <c r="B96" t="s">
        <v>191</v>
      </c>
      <c r="C96" t="s">
        <v>7</v>
      </c>
      <c r="D96" t="s">
        <v>12</v>
      </c>
      <c r="E96">
        <v>4703.26</v>
      </c>
      <c r="F96" t="str">
        <f t="shared" si="1"/>
        <v>Jan</v>
      </c>
    </row>
    <row r="97" spans="1:6" x14ac:dyDescent="0.3">
      <c r="A97" t="s">
        <v>192</v>
      </c>
      <c r="B97" t="s">
        <v>162</v>
      </c>
      <c r="C97" t="s">
        <v>11</v>
      </c>
      <c r="D97" t="s">
        <v>8</v>
      </c>
      <c r="E97">
        <v>3586.92</v>
      </c>
      <c r="F97" t="str">
        <f t="shared" si="1"/>
        <v>Nov</v>
      </c>
    </row>
    <row r="98" spans="1:6" x14ac:dyDescent="0.3">
      <c r="A98" t="s">
        <v>193</v>
      </c>
      <c r="B98" t="s">
        <v>138</v>
      </c>
      <c r="C98" t="s">
        <v>18</v>
      </c>
      <c r="D98" t="s">
        <v>8</v>
      </c>
      <c r="E98">
        <v>2961.82</v>
      </c>
      <c r="F98" t="str">
        <f t="shared" si="1"/>
        <v>Jun</v>
      </c>
    </row>
    <row r="99" spans="1:6" x14ac:dyDescent="0.3">
      <c r="A99" t="s">
        <v>194</v>
      </c>
      <c r="B99" t="s">
        <v>195</v>
      </c>
      <c r="C99" t="s">
        <v>7</v>
      </c>
      <c r="D99" t="s">
        <v>12</v>
      </c>
      <c r="E99">
        <v>3511.59</v>
      </c>
      <c r="F99" t="str">
        <f t="shared" si="1"/>
        <v>Oct</v>
      </c>
    </row>
    <row r="100" spans="1:6" x14ac:dyDescent="0.3">
      <c r="A100" t="s">
        <v>196</v>
      </c>
      <c r="B100" t="s">
        <v>197</v>
      </c>
      <c r="C100" t="s">
        <v>31</v>
      </c>
      <c r="D100" t="s">
        <v>12</v>
      </c>
      <c r="E100">
        <v>4593.58</v>
      </c>
      <c r="F100" t="str">
        <f t="shared" si="1"/>
        <v>Apr</v>
      </c>
    </row>
    <row r="101" spans="1:6" x14ac:dyDescent="0.3">
      <c r="A101" t="s">
        <v>198</v>
      </c>
      <c r="B101" t="s">
        <v>199</v>
      </c>
      <c r="C101" t="s">
        <v>31</v>
      </c>
      <c r="D101" t="s">
        <v>12</v>
      </c>
      <c r="E101">
        <v>573.64</v>
      </c>
      <c r="F101" t="str">
        <f t="shared" si="1"/>
        <v>Jan</v>
      </c>
    </row>
    <row r="102" spans="1:6" x14ac:dyDescent="0.3">
      <c r="A102" t="s">
        <v>200</v>
      </c>
      <c r="B102" t="s">
        <v>201</v>
      </c>
      <c r="C102" t="s">
        <v>7</v>
      </c>
      <c r="D102" t="s">
        <v>8</v>
      </c>
      <c r="E102">
        <v>1790.2</v>
      </c>
      <c r="F102" t="str">
        <f t="shared" si="1"/>
        <v>Aug</v>
      </c>
    </row>
    <row r="103" spans="1:6" x14ac:dyDescent="0.3">
      <c r="A103" t="s">
        <v>202</v>
      </c>
      <c r="B103" t="s">
        <v>203</v>
      </c>
      <c r="C103" t="s">
        <v>7</v>
      </c>
      <c r="D103" t="s">
        <v>15</v>
      </c>
      <c r="E103">
        <v>295.08999999999997</v>
      </c>
      <c r="F103" t="str">
        <f t="shared" si="1"/>
        <v>May</v>
      </c>
    </row>
    <row r="104" spans="1:6" x14ac:dyDescent="0.3">
      <c r="A104" t="s">
        <v>204</v>
      </c>
      <c r="B104" t="s">
        <v>205</v>
      </c>
      <c r="C104" t="s">
        <v>11</v>
      </c>
      <c r="D104" t="s">
        <v>15</v>
      </c>
      <c r="E104">
        <v>1518.47</v>
      </c>
      <c r="F104" t="str">
        <f t="shared" si="1"/>
        <v>Feb</v>
      </c>
    </row>
    <row r="105" spans="1:6" x14ac:dyDescent="0.3">
      <c r="A105" t="s">
        <v>206</v>
      </c>
      <c r="B105" t="s">
        <v>105</v>
      </c>
      <c r="C105" t="s">
        <v>31</v>
      </c>
      <c r="D105" t="s">
        <v>8</v>
      </c>
      <c r="E105">
        <v>4238.8100000000004</v>
      </c>
      <c r="F105" t="str">
        <f t="shared" si="1"/>
        <v>Jun</v>
      </c>
    </row>
    <row r="106" spans="1:6" x14ac:dyDescent="0.3">
      <c r="A106" t="s">
        <v>207</v>
      </c>
      <c r="B106" t="s">
        <v>208</v>
      </c>
      <c r="C106" t="s">
        <v>31</v>
      </c>
      <c r="D106" t="s">
        <v>15</v>
      </c>
      <c r="E106">
        <v>3752.93</v>
      </c>
      <c r="F106" t="str">
        <f t="shared" si="1"/>
        <v>Jan</v>
      </c>
    </row>
    <row r="107" spans="1:6" x14ac:dyDescent="0.3">
      <c r="A107" t="s">
        <v>209</v>
      </c>
      <c r="B107" t="s">
        <v>175</v>
      </c>
      <c r="C107" t="s">
        <v>18</v>
      </c>
      <c r="D107" t="s">
        <v>15</v>
      </c>
      <c r="E107">
        <v>843.19</v>
      </c>
      <c r="F107" t="str">
        <f t="shared" si="1"/>
        <v>Aug</v>
      </c>
    </row>
    <row r="108" spans="1:6" x14ac:dyDescent="0.3">
      <c r="A108" t="s">
        <v>210</v>
      </c>
      <c r="B108" t="s">
        <v>211</v>
      </c>
      <c r="C108" t="s">
        <v>11</v>
      </c>
      <c r="D108" t="s">
        <v>8</v>
      </c>
      <c r="E108">
        <v>497.67</v>
      </c>
      <c r="F108" t="str">
        <f t="shared" si="1"/>
        <v>Dec</v>
      </c>
    </row>
    <row r="109" spans="1:6" x14ac:dyDescent="0.3">
      <c r="A109" t="s">
        <v>212</v>
      </c>
      <c r="B109" t="s">
        <v>213</v>
      </c>
      <c r="C109" t="s">
        <v>11</v>
      </c>
      <c r="D109" t="s">
        <v>12</v>
      </c>
      <c r="E109">
        <v>2202.54</v>
      </c>
      <c r="F109" t="str">
        <f t="shared" si="1"/>
        <v>Jul</v>
      </c>
    </row>
    <row r="110" spans="1:6" x14ac:dyDescent="0.3">
      <c r="A110" t="s">
        <v>214</v>
      </c>
      <c r="B110" t="s">
        <v>215</v>
      </c>
      <c r="C110" t="s">
        <v>31</v>
      </c>
      <c r="D110" t="s">
        <v>12</v>
      </c>
      <c r="E110">
        <v>3634.77</v>
      </c>
      <c r="F110" t="str">
        <f t="shared" si="1"/>
        <v>Apr</v>
      </c>
    </row>
    <row r="111" spans="1:6" x14ac:dyDescent="0.3">
      <c r="A111" t="s">
        <v>216</v>
      </c>
      <c r="B111" t="s">
        <v>217</v>
      </c>
      <c r="C111" t="s">
        <v>7</v>
      </c>
      <c r="D111" t="s">
        <v>8</v>
      </c>
      <c r="E111">
        <v>813.9</v>
      </c>
      <c r="F111" t="str">
        <f t="shared" si="1"/>
        <v>Apr</v>
      </c>
    </row>
    <row r="112" spans="1:6" x14ac:dyDescent="0.3">
      <c r="A112" t="s">
        <v>218</v>
      </c>
      <c r="B112" t="s">
        <v>219</v>
      </c>
      <c r="C112" t="s">
        <v>7</v>
      </c>
      <c r="D112" t="s">
        <v>8</v>
      </c>
      <c r="E112">
        <v>2766.87</v>
      </c>
      <c r="F112" t="str">
        <f t="shared" si="1"/>
        <v>Jan</v>
      </c>
    </row>
    <row r="113" spans="1:6" x14ac:dyDescent="0.3">
      <c r="A113" t="s">
        <v>220</v>
      </c>
      <c r="B113" t="s">
        <v>221</v>
      </c>
      <c r="C113" t="s">
        <v>18</v>
      </c>
      <c r="D113" t="s">
        <v>15</v>
      </c>
      <c r="E113">
        <v>3361.86</v>
      </c>
      <c r="F113" t="str">
        <f t="shared" si="1"/>
        <v>May</v>
      </c>
    </row>
    <row r="114" spans="1:6" x14ac:dyDescent="0.3">
      <c r="A114" t="s">
        <v>222</v>
      </c>
      <c r="B114" t="s">
        <v>223</v>
      </c>
      <c r="C114" t="s">
        <v>7</v>
      </c>
      <c r="D114" t="s">
        <v>15</v>
      </c>
      <c r="E114">
        <v>2672.03</v>
      </c>
      <c r="F114" t="str">
        <f t="shared" si="1"/>
        <v>Sep</v>
      </c>
    </row>
    <row r="115" spans="1:6" x14ac:dyDescent="0.3">
      <c r="A115" t="s">
        <v>224</v>
      </c>
      <c r="B115" t="s">
        <v>225</v>
      </c>
      <c r="C115" t="s">
        <v>31</v>
      </c>
      <c r="D115" t="s">
        <v>8</v>
      </c>
      <c r="E115">
        <v>551.4</v>
      </c>
      <c r="F115" t="str">
        <f t="shared" si="1"/>
        <v>Sep</v>
      </c>
    </row>
    <row r="116" spans="1:6" x14ac:dyDescent="0.3">
      <c r="A116" t="s">
        <v>226</v>
      </c>
      <c r="B116" t="s">
        <v>97</v>
      </c>
      <c r="C116" t="s">
        <v>7</v>
      </c>
      <c r="D116" t="s">
        <v>15</v>
      </c>
      <c r="E116">
        <v>2420.8000000000002</v>
      </c>
      <c r="F116" t="str">
        <f t="shared" si="1"/>
        <v>Aug</v>
      </c>
    </row>
    <row r="117" spans="1:6" x14ac:dyDescent="0.3">
      <c r="A117" t="s">
        <v>227</v>
      </c>
      <c r="B117" t="s">
        <v>219</v>
      </c>
      <c r="C117" t="s">
        <v>11</v>
      </c>
      <c r="D117" t="s">
        <v>12</v>
      </c>
      <c r="E117">
        <v>1914.37</v>
      </c>
      <c r="F117" t="str">
        <f t="shared" si="1"/>
        <v>Jan</v>
      </c>
    </row>
    <row r="118" spans="1:6" x14ac:dyDescent="0.3">
      <c r="A118" t="s">
        <v>228</v>
      </c>
      <c r="B118" t="s">
        <v>229</v>
      </c>
      <c r="C118" t="s">
        <v>18</v>
      </c>
      <c r="D118" t="s">
        <v>12</v>
      </c>
      <c r="E118">
        <v>783.89</v>
      </c>
      <c r="F118" t="str">
        <f t="shared" si="1"/>
        <v>Nov</v>
      </c>
    </row>
    <row r="119" spans="1:6" x14ac:dyDescent="0.3">
      <c r="A119" t="s">
        <v>230</v>
      </c>
      <c r="B119" t="s">
        <v>231</v>
      </c>
      <c r="C119" t="s">
        <v>18</v>
      </c>
      <c r="D119" t="s">
        <v>12</v>
      </c>
      <c r="E119">
        <v>4944.72</v>
      </c>
      <c r="F119" t="str">
        <f t="shared" si="1"/>
        <v>Mar</v>
      </c>
    </row>
    <row r="120" spans="1:6" x14ac:dyDescent="0.3">
      <c r="A120" t="s">
        <v>232</v>
      </c>
      <c r="B120" t="s">
        <v>233</v>
      </c>
      <c r="C120" t="s">
        <v>31</v>
      </c>
      <c r="D120" t="s">
        <v>15</v>
      </c>
      <c r="E120">
        <v>2980.4</v>
      </c>
      <c r="F120" t="str">
        <f t="shared" si="1"/>
        <v>May</v>
      </c>
    </row>
    <row r="121" spans="1:6" x14ac:dyDescent="0.3">
      <c r="A121" t="s">
        <v>234</v>
      </c>
      <c r="B121" t="s">
        <v>235</v>
      </c>
      <c r="C121" t="s">
        <v>18</v>
      </c>
      <c r="D121" t="s">
        <v>15</v>
      </c>
      <c r="E121">
        <v>4381.0600000000004</v>
      </c>
      <c r="F121" t="str">
        <f t="shared" si="1"/>
        <v>Nov</v>
      </c>
    </row>
    <row r="122" spans="1:6" x14ac:dyDescent="0.3">
      <c r="A122" t="s">
        <v>236</v>
      </c>
      <c r="B122" t="s">
        <v>164</v>
      </c>
      <c r="C122" t="s">
        <v>31</v>
      </c>
      <c r="D122" t="s">
        <v>15</v>
      </c>
      <c r="E122">
        <v>1248.55</v>
      </c>
      <c r="F122" t="str">
        <f t="shared" si="1"/>
        <v>Mar</v>
      </c>
    </row>
    <row r="123" spans="1:6" x14ac:dyDescent="0.3">
      <c r="A123" t="s">
        <v>237</v>
      </c>
      <c r="B123" t="s">
        <v>238</v>
      </c>
      <c r="C123" t="s">
        <v>31</v>
      </c>
      <c r="D123" t="s">
        <v>15</v>
      </c>
      <c r="E123">
        <v>3482.59</v>
      </c>
      <c r="F123" t="str">
        <f t="shared" si="1"/>
        <v>Dec</v>
      </c>
    </row>
    <row r="124" spans="1:6" x14ac:dyDescent="0.3">
      <c r="A124" t="s">
        <v>239</v>
      </c>
      <c r="B124" t="s">
        <v>238</v>
      </c>
      <c r="C124" t="s">
        <v>7</v>
      </c>
      <c r="D124" t="s">
        <v>15</v>
      </c>
      <c r="E124">
        <v>4908.7700000000004</v>
      </c>
      <c r="F124" t="str">
        <f t="shared" si="1"/>
        <v>Dec</v>
      </c>
    </row>
    <row r="125" spans="1:6" x14ac:dyDescent="0.3">
      <c r="A125" t="s">
        <v>240</v>
      </c>
      <c r="B125" t="s">
        <v>241</v>
      </c>
      <c r="C125" t="s">
        <v>11</v>
      </c>
      <c r="D125" t="s">
        <v>8</v>
      </c>
      <c r="E125">
        <v>1606.61</v>
      </c>
      <c r="F125" t="str">
        <f t="shared" si="1"/>
        <v>Jan</v>
      </c>
    </row>
    <row r="126" spans="1:6" x14ac:dyDescent="0.3">
      <c r="A126" t="s">
        <v>242</v>
      </c>
      <c r="B126" t="s">
        <v>55</v>
      </c>
      <c r="C126" t="s">
        <v>31</v>
      </c>
      <c r="D126" t="s">
        <v>8</v>
      </c>
      <c r="E126">
        <v>2376.4299999999998</v>
      </c>
      <c r="F126" t="str">
        <f t="shared" si="1"/>
        <v>Jul</v>
      </c>
    </row>
    <row r="127" spans="1:6" x14ac:dyDescent="0.3">
      <c r="A127" t="s">
        <v>243</v>
      </c>
      <c r="B127" t="s">
        <v>244</v>
      </c>
      <c r="C127" t="s">
        <v>18</v>
      </c>
      <c r="D127" t="s">
        <v>8</v>
      </c>
      <c r="E127">
        <v>3714.93</v>
      </c>
      <c r="F127" t="str">
        <f t="shared" si="1"/>
        <v>Apr</v>
      </c>
    </row>
    <row r="128" spans="1:6" x14ac:dyDescent="0.3">
      <c r="A128" t="s">
        <v>245</v>
      </c>
      <c r="B128" t="s">
        <v>246</v>
      </c>
      <c r="C128" t="s">
        <v>31</v>
      </c>
      <c r="D128" t="s">
        <v>12</v>
      </c>
      <c r="E128">
        <v>3620.05</v>
      </c>
      <c r="F128" t="str">
        <f t="shared" si="1"/>
        <v>Aug</v>
      </c>
    </row>
    <row r="129" spans="1:6" x14ac:dyDescent="0.3">
      <c r="A129" t="s">
        <v>247</v>
      </c>
      <c r="B129" t="s">
        <v>248</v>
      </c>
      <c r="C129" t="s">
        <v>11</v>
      </c>
      <c r="D129" t="s">
        <v>15</v>
      </c>
      <c r="E129">
        <v>2833.59</v>
      </c>
      <c r="F129" t="str">
        <f t="shared" si="1"/>
        <v>Oct</v>
      </c>
    </row>
    <row r="130" spans="1:6" x14ac:dyDescent="0.3">
      <c r="A130" t="s">
        <v>249</v>
      </c>
      <c r="B130" t="s">
        <v>250</v>
      </c>
      <c r="C130" t="s">
        <v>11</v>
      </c>
      <c r="D130" t="s">
        <v>15</v>
      </c>
      <c r="E130">
        <v>3153.26</v>
      </c>
      <c r="F130" t="str">
        <f t="shared" si="1"/>
        <v>Nov</v>
      </c>
    </row>
    <row r="131" spans="1:6" x14ac:dyDescent="0.3">
      <c r="A131" t="s">
        <v>251</v>
      </c>
      <c r="B131" t="s">
        <v>187</v>
      </c>
      <c r="C131" t="s">
        <v>18</v>
      </c>
      <c r="D131" t="s">
        <v>8</v>
      </c>
      <c r="E131">
        <v>3851.12</v>
      </c>
      <c r="F131" t="str">
        <f t="shared" ref="F131:F194" si="2">TEXT(B131,"mmm")</f>
        <v>Apr</v>
      </c>
    </row>
    <row r="132" spans="1:6" x14ac:dyDescent="0.3">
      <c r="A132" t="s">
        <v>252</v>
      </c>
      <c r="B132" t="s">
        <v>253</v>
      </c>
      <c r="C132" t="s">
        <v>31</v>
      </c>
      <c r="D132" t="s">
        <v>8</v>
      </c>
      <c r="E132">
        <v>3167.91</v>
      </c>
      <c r="F132" t="str">
        <f t="shared" si="2"/>
        <v>Feb</v>
      </c>
    </row>
    <row r="133" spans="1:6" x14ac:dyDescent="0.3">
      <c r="A133" t="s">
        <v>254</v>
      </c>
      <c r="B133" t="s">
        <v>255</v>
      </c>
      <c r="C133" t="s">
        <v>31</v>
      </c>
      <c r="D133" t="s">
        <v>8</v>
      </c>
      <c r="E133">
        <v>3832.12</v>
      </c>
      <c r="F133" t="str">
        <f t="shared" si="2"/>
        <v>Sep</v>
      </c>
    </row>
    <row r="134" spans="1:6" x14ac:dyDescent="0.3">
      <c r="A134" t="s">
        <v>256</v>
      </c>
      <c r="B134" t="s">
        <v>257</v>
      </c>
      <c r="C134" t="s">
        <v>18</v>
      </c>
      <c r="D134" t="s">
        <v>12</v>
      </c>
      <c r="E134">
        <v>1570.62</v>
      </c>
      <c r="F134" t="str">
        <f t="shared" si="2"/>
        <v>Nov</v>
      </c>
    </row>
    <row r="135" spans="1:6" x14ac:dyDescent="0.3">
      <c r="A135" t="s">
        <v>258</v>
      </c>
      <c r="B135" t="s">
        <v>259</v>
      </c>
      <c r="C135" t="s">
        <v>18</v>
      </c>
      <c r="D135" t="s">
        <v>12</v>
      </c>
      <c r="E135">
        <v>4466.82</v>
      </c>
      <c r="F135" t="str">
        <f t="shared" si="2"/>
        <v>Mar</v>
      </c>
    </row>
    <row r="136" spans="1:6" x14ac:dyDescent="0.3">
      <c r="A136" t="s">
        <v>260</v>
      </c>
      <c r="B136" t="s">
        <v>261</v>
      </c>
      <c r="C136" t="s">
        <v>31</v>
      </c>
      <c r="D136" t="s">
        <v>15</v>
      </c>
      <c r="E136">
        <v>4067.39</v>
      </c>
      <c r="F136" t="str">
        <f t="shared" si="2"/>
        <v>Aug</v>
      </c>
    </row>
    <row r="137" spans="1:6" x14ac:dyDescent="0.3">
      <c r="A137" t="s">
        <v>262</v>
      </c>
      <c r="B137" t="s">
        <v>263</v>
      </c>
      <c r="C137" t="s">
        <v>18</v>
      </c>
      <c r="D137" t="s">
        <v>12</v>
      </c>
      <c r="E137">
        <v>3670.57</v>
      </c>
      <c r="F137" t="str">
        <f t="shared" si="2"/>
        <v>Dec</v>
      </c>
    </row>
    <row r="138" spans="1:6" x14ac:dyDescent="0.3">
      <c r="A138" t="s">
        <v>264</v>
      </c>
      <c r="B138" t="s">
        <v>162</v>
      </c>
      <c r="C138" t="s">
        <v>18</v>
      </c>
      <c r="D138" t="s">
        <v>8</v>
      </c>
      <c r="E138">
        <v>4545.99</v>
      </c>
      <c r="F138" t="str">
        <f t="shared" si="2"/>
        <v>Nov</v>
      </c>
    </row>
    <row r="139" spans="1:6" x14ac:dyDescent="0.3">
      <c r="A139" t="s">
        <v>265</v>
      </c>
      <c r="B139" t="s">
        <v>24</v>
      </c>
      <c r="C139" t="s">
        <v>18</v>
      </c>
      <c r="D139" t="s">
        <v>8</v>
      </c>
      <c r="E139">
        <v>948.55</v>
      </c>
      <c r="F139" t="str">
        <f t="shared" si="2"/>
        <v>Dec</v>
      </c>
    </row>
    <row r="140" spans="1:6" x14ac:dyDescent="0.3">
      <c r="A140" t="s">
        <v>266</v>
      </c>
      <c r="B140" t="s">
        <v>267</v>
      </c>
      <c r="C140" t="s">
        <v>7</v>
      </c>
      <c r="D140" t="s">
        <v>15</v>
      </c>
      <c r="E140">
        <v>2519.7399999999998</v>
      </c>
      <c r="F140" t="str">
        <f t="shared" si="2"/>
        <v>Feb</v>
      </c>
    </row>
    <row r="141" spans="1:6" x14ac:dyDescent="0.3">
      <c r="A141" t="s">
        <v>268</v>
      </c>
      <c r="B141" t="s">
        <v>269</v>
      </c>
      <c r="C141" t="s">
        <v>31</v>
      </c>
      <c r="D141" t="s">
        <v>15</v>
      </c>
      <c r="E141">
        <v>4449.8</v>
      </c>
      <c r="F141" t="str">
        <f t="shared" si="2"/>
        <v>Sep</v>
      </c>
    </row>
    <row r="142" spans="1:6" x14ac:dyDescent="0.3">
      <c r="A142" t="s">
        <v>270</v>
      </c>
      <c r="B142" t="s">
        <v>271</v>
      </c>
      <c r="C142" t="s">
        <v>7</v>
      </c>
      <c r="D142" t="s">
        <v>8</v>
      </c>
      <c r="E142">
        <v>860.46</v>
      </c>
      <c r="F142" t="str">
        <f t="shared" si="2"/>
        <v>May</v>
      </c>
    </row>
    <row r="143" spans="1:6" x14ac:dyDescent="0.3">
      <c r="A143" t="s">
        <v>272</v>
      </c>
      <c r="B143" t="s">
        <v>273</v>
      </c>
      <c r="C143" t="s">
        <v>18</v>
      </c>
      <c r="D143" t="s">
        <v>12</v>
      </c>
      <c r="E143">
        <v>1849.91</v>
      </c>
      <c r="F143" t="str">
        <f t="shared" si="2"/>
        <v>Sep</v>
      </c>
    </row>
    <row r="144" spans="1:6" x14ac:dyDescent="0.3">
      <c r="A144" t="s">
        <v>274</v>
      </c>
      <c r="B144" t="s">
        <v>275</v>
      </c>
      <c r="C144" t="s">
        <v>7</v>
      </c>
      <c r="D144" t="s">
        <v>15</v>
      </c>
      <c r="E144">
        <v>1093.27</v>
      </c>
      <c r="F144" t="str">
        <f t="shared" si="2"/>
        <v>Apr</v>
      </c>
    </row>
    <row r="145" spans="1:6" x14ac:dyDescent="0.3">
      <c r="A145" t="s">
        <v>276</v>
      </c>
      <c r="B145" t="s">
        <v>45</v>
      </c>
      <c r="C145" t="s">
        <v>7</v>
      </c>
      <c r="D145" t="s">
        <v>12</v>
      </c>
      <c r="E145">
        <v>624.16</v>
      </c>
      <c r="F145" t="str">
        <f t="shared" si="2"/>
        <v>Dec</v>
      </c>
    </row>
    <row r="146" spans="1:6" x14ac:dyDescent="0.3">
      <c r="A146" t="s">
        <v>277</v>
      </c>
      <c r="B146" t="s">
        <v>278</v>
      </c>
      <c r="C146" t="s">
        <v>11</v>
      </c>
      <c r="D146" t="s">
        <v>15</v>
      </c>
      <c r="E146">
        <v>1968.67</v>
      </c>
      <c r="F146" t="str">
        <f t="shared" si="2"/>
        <v>Mar</v>
      </c>
    </row>
    <row r="147" spans="1:6" x14ac:dyDescent="0.3">
      <c r="A147" t="s">
        <v>279</v>
      </c>
      <c r="B147" t="s">
        <v>280</v>
      </c>
      <c r="C147" t="s">
        <v>18</v>
      </c>
      <c r="D147" t="s">
        <v>15</v>
      </c>
      <c r="E147">
        <v>2957.68</v>
      </c>
      <c r="F147" t="str">
        <f t="shared" si="2"/>
        <v>Jul</v>
      </c>
    </row>
    <row r="148" spans="1:6" x14ac:dyDescent="0.3">
      <c r="A148" t="s">
        <v>281</v>
      </c>
      <c r="B148" t="s">
        <v>282</v>
      </c>
      <c r="C148" t="s">
        <v>11</v>
      </c>
      <c r="D148" t="s">
        <v>15</v>
      </c>
      <c r="E148">
        <v>2690.74</v>
      </c>
      <c r="F148" t="str">
        <f t="shared" si="2"/>
        <v>Dec</v>
      </c>
    </row>
    <row r="149" spans="1:6" x14ac:dyDescent="0.3">
      <c r="A149" t="s">
        <v>283</v>
      </c>
      <c r="B149" t="s">
        <v>284</v>
      </c>
      <c r="C149" t="s">
        <v>7</v>
      </c>
      <c r="D149" t="s">
        <v>8</v>
      </c>
      <c r="E149">
        <v>3364.14</v>
      </c>
      <c r="F149" t="str">
        <f t="shared" si="2"/>
        <v>Nov</v>
      </c>
    </row>
    <row r="150" spans="1:6" x14ac:dyDescent="0.3">
      <c r="A150" t="s">
        <v>285</v>
      </c>
      <c r="B150" t="s">
        <v>286</v>
      </c>
      <c r="C150" t="s">
        <v>31</v>
      </c>
      <c r="D150" t="s">
        <v>12</v>
      </c>
      <c r="E150">
        <v>2218.89</v>
      </c>
      <c r="F150" t="str">
        <f t="shared" si="2"/>
        <v>Mar</v>
      </c>
    </row>
    <row r="151" spans="1:6" x14ac:dyDescent="0.3">
      <c r="A151" t="s">
        <v>287</v>
      </c>
      <c r="B151" t="s">
        <v>288</v>
      </c>
      <c r="C151" t="s">
        <v>31</v>
      </c>
      <c r="D151" t="s">
        <v>8</v>
      </c>
      <c r="E151">
        <v>3192.13</v>
      </c>
      <c r="F151" t="str">
        <f t="shared" si="2"/>
        <v>May</v>
      </c>
    </row>
    <row r="152" spans="1:6" x14ac:dyDescent="0.3">
      <c r="A152" t="s">
        <v>289</v>
      </c>
      <c r="B152" t="s">
        <v>290</v>
      </c>
      <c r="C152" t="s">
        <v>31</v>
      </c>
      <c r="D152" t="s">
        <v>12</v>
      </c>
      <c r="E152">
        <v>2492.9499999999998</v>
      </c>
      <c r="F152" t="str">
        <f t="shared" si="2"/>
        <v>Feb</v>
      </c>
    </row>
    <row r="153" spans="1:6" x14ac:dyDescent="0.3">
      <c r="A153" t="s">
        <v>291</v>
      </c>
      <c r="B153" t="s">
        <v>292</v>
      </c>
      <c r="C153" t="s">
        <v>18</v>
      </c>
      <c r="D153" t="s">
        <v>12</v>
      </c>
      <c r="E153">
        <v>4278.33</v>
      </c>
      <c r="F153" t="str">
        <f t="shared" si="2"/>
        <v>Feb</v>
      </c>
    </row>
    <row r="154" spans="1:6" x14ac:dyDescent="0.3">
      <c r="A154" t="s">
        <v>293</v>
      </c>
      <c r="B154" t="s">
        <v>294</v>
      </c>
      <c r="C154" t="s">
        <v>7</v>
      </c>
      <c r="D154" t="s">
        <v>15</v>
      </c>
      <c r="E154">
        <v>4539.42</v>
      </c>
      <c r="F154" t="str">
        <f t="shared" si="2"/>
        <v>Oct</v>
      </c>
    </row>
    <row r="155" spans="1:6" x14ac:dyDescent="0.3">
      <c r="A155" t="s">
        <v>295</v>
      </c>
      <c r="B155" t="s">
        <v>82</v>
      </c>
      <c r="C155" t="s">
        <v>11</v>
      </c>
      <c r="D155" t="s">
        <v>8</v>
      </c>
      <c r="E155">
        <v>3949.32</v>
      </c>
      <c r="F155" t="str">
        <f t="shared" si="2"/>
        <v>Oct</v>
      </c>
    </row>
    <row r="156" spans="1:6" x14ac:dyDescent="0.3">
      <c r="A156" t="s">
        <v>296</v>
      </c>
      <c r="B156" t="s">
        <v>297</v>
      </c>
      <c r="C156" t="s">
        <v>18</v>
      </c>
      <c r="D156" t="s">
        <v>15</v>
      </c>
      <c r="E156">
        <v>3943.7</v>
      </c>
      <c r="F156" t="str">
        <f t="shared" si="2"/>
        <v>Nov</v>
      </c>
    </row>
    <row r="157" spans="1:6" x14ac:dyDescent="0.3">
      <c r="A157" t="s">
        <v>298</v>
      </c>
      <c r="B157" t="s">
        <v>299</v>
      </c>
      <c r="C157" t="s">
        <v>18</v>
      </c>
      <c r="D157" t="s">
        <v>12</v>
      </c>
      <c r="E157">
        <v>2017.55</v>
      </c>
      <c r="F157" t="str">
        <f t="shared" si="2"/>
        <v>Nov</v>
      </c>
    </row>
    <row r="158" spans="1:6" x14ac:dyDescent="0.3">
      <c r="A158" t="s">
        <v>300</v>
      </c>
      <c r="B158" t="s">
        <v>301</v>
      </c>
      <c r="C158" t="s">
        <v>31</v>
      </c>
      <c r="D158" t="s">
        <v>12</v>
      </c>
      <c r="E158">
        <v>1361.55</v>
      </c>
      <c r="F158" t="str">
        <f t="shared" si="2"/>
        <v>Apr</v>
      </c>
    </row>
    <row r="159" spans="1:6" x14ac:dyDescent="0.3">
      <c r="A159" t="s">
        <v>302</v>
      </c>
      <c r="B159" t="s">
        <v>303</v>
      </c>
      <c r="C159" t="s">
        <v>7</v>
      </c>
      <c r="D159" t="s">
        <v>8</v>
      </c>
      <c r="E159">
        <v>1626.83</v>
      </c>
      <c r="F159" t="str">
        <f t="shared" si="2"/>
        <v>Jul</v>
      </c>
    </row>
    <row r="160" spans="1:6" x14ac:dyDescent="0.3">
      <c r="A160" t="s">
        <v>304</v>
      </c>
      <c r="B160" t="s">
        <v>305</v>
      </c>
      <c r="C160" t="s">
        <v>11</v>
      </c>
      <c r="D160" t="s">
        <v>12</v>
      </c>
      <c r="E160">
        <v>2266.5500000000002</v>
      </c>
      <c r="F160" t="str">
        <f t="shared" si="2"/>
        <v>Dec</v>
      </c>
    </row>
    <row r="161" spans="1:6" x14ac:dyDescent="0.3">
      <c r="A161" t="s">
        <v>306</v>
      </c>
      <c r="B161" t="s">
        <v>235</v>
      </c>
      <c r="C161" t="s">
        <v>11</v>
      </c>
      <c r="D161" t="s">
        <v>15</v>
      </c>
      <c r="E161">
        <v>3564.73</v>
      </c>
      <c r="F161" t="str">
        <f t="shared" si="2"/>
        <v>Nov</v>
      </c>
    </row>
    <row r="162" spans="1:6" x14ac:dyDescent="0.3">
      <c r="A162" t="s">
        <v>307</v>
      </c>
      <c r="B162" t="s">
        <v>140</v>
      </c>
      <c r="C162" t="s">
        <v>31</v>
      </c>
      <c r="D162" t="s">
        <v>8</v>
      </c>
      <c r="E162">
        <v>429.88</v>
      </c>
      <c r="F162" t="str">
        <f t="shared" si="2"/>
        <v>Dec</v>
      </c>
    </row>
    <row r="163" spans="1:6" x14ac:dyDescent="0.3">
      <c r="A163" t="s">
        <v>308</v>
      </c>
      <c r="B163" t="s">
        <v>309</v>
      </c>
      <c r="C163" t="s">
        <v>31</v>
      </c>
      <c r="D163" t="s">
        <v>12</v>
      </c>
      <c r="E163">
        <v>1940.18</v>
      </c>
      <c r="F163" t="str">
        <f t="shared" si="2"/>
        <v>Mar</v>
      </c>
    </row>
    <row r="164" spans="1:6" x14ac:dyDescent="0.3">
      <c r="A164" t="s">
        <v>310</v>
      </c>
      <c r="B164" t="s">
        <v>26</v>
      </c>
      <c r="C164" t="s">
        <v>31</v>
      </c>
      <c r="D164" t="s">
        <v>8</v>
      </c>
      <c r="E164">
        <v>2853.65</v>
      </c>
      <c r="F164" t="str">
        <f t="shared" si="2"/>
        <v>Mar</v>
      </c>
    </row>
    <row r="165" spans="1:6" x14ac:dyDescent="0.3">
      <c r="A165" t="s">
        <v>311</v>
      </c>
      <c r="B165" t="s">
        <v>282</v>
      </c>
      <c r="C165" t="s">
        <v>31</v>
      </c>
      <c r="D165" t="s">
        <v>12</v>
      </c>
      <c r="E165">
        <v>3468.13</v>
      </c>
      <c r="F165" t="str">
        <f t="shared" si="2"/>
        <v>Dec</v>
      </c>
    </row>
    <row r="166" spans="1:6" x14ac:dyDescent="0.3">
      <c r="A166" t="s">
        <v>312</v>
      </c>
      <c r="B166" t="s">
        <v>313</v>
      </c>
      <c r="C166" t="s">
        <v>31</v>
      </c>
      <c r="D166" t="s">
        <v>12</v>
      </c>
      <c r="E166">
        <v>4404.43</v>
      </c>
      <c r="F166" t="str">
        <f t="shared" si="2"/>
        <v>Apr</v>
      </c>
    </row>
    <row r="167" spans="1:6" x14ac:dyDescent="0.3">
      <c r="A167" t="s">
        <v>314</v>
      </c>
      <c r="B167" t="s">
        <v>142</v>
      </c>
      <c r="C167" t="s">
        <v>11</v>
      </c>
      <c r="D167" t="s">
        <v>15</v>
      </c>
      <c r="E167">
        <v>1072.08</v>
      </c>
      <c r="F167" t="str">
        <f t="shared" si="2"/>
        <v>Aug</v>
      </c>
    </row>
    <row r="168" spans="1:6" x14ac:dyDescent="0.3">
      <c r="A168" t="s">
        <v>315</v>
      </c>
      <c r="B168" t="s">
        <v>271</v>
      </c>
      <c r="C168" t="s">
        <v>7</v>
      </c>
      <c r="D168" t="s">
        <v>15</v>
      </c>
      <c r="E168">
        <v>4099</v>
      </c>
      <c r="F168" t="str">
        <f t="shared" si="2"/>
        <v>May</v>
      </c>
    </row>
    <row r="169" spans="1:6" x14ac:dyDescent="0.3">
      <c r="A169" t="s">
        <v>316</v>
      </c>
      <c r="B169" t="s">
        <v>317</v>
      </c>
      <c r="C169" t="s">
        <v>18</v>
      </c>
      <c r="D169" t="s">
        <v>15</v>
      </c>
      <c r="E169">
        <v>3704.24</v>
      </c>
      <c r="F169" t="str">
        <f t="shared" si="2"/>
        <v>May</v>
      </c>
    </row>
    <row r="170" spans="1:6" x14ac:dyDescent="0.3">
      <c r="A170" t="s">
        <v>318</v>
      </c>
      <c r="B170" t="s">
        <v>221</v>
      </c>
      <c r="C170" t="s">
        <v>31</v>
      </c>
      <c r="D170" t="s">
        <v>8</v>
      </c>
      <c r="E170">
        <v>3617.51</v>
      </c>
      <c r="F170" t="str">
        <f t="shared" si="2"/>
        <v>May</v>
      </c>
    </row>
    <row r="171" spans="1:6" x14ac:dyDescent="0.3">
      <c r="A171" t="s">
        <v>319</v>
      </c>
      <c r="B171" t="s">
        <v>320</v>
      </c>
      <c r="C171" t="s">
        <v>11</v>
      </c>
      <c r="D171" t="s">
        <v>8</v>
      </c>
      <c r="E171">
        <v>3097.94</v>
      </c>
      <c r="F171" t="str">
        <f t="shared" si="2"/>
        <v>Oct</v>
      </c>
    </row>
    <row r="172" spans="1:6" x14ac:dyDescent="0.3">
      <c r="A172" t="s">
        <v>321</v>
      </c>
      <c r="B172" t="s">
        <v>164</v>
      </c>
      <c r="C172" t="s">
        <v>7</v>
      </c>
      <c r="D172" t="s">
        <v>8</v>
      </c>
      <c r="E172">
        <v>3765.82</v>
      </c>
      <c r="F172" t="str">
        <f t="shared" si="2"/>
        <v>Mar</v>
      </c>
    </row>
    <row r="173" spans="1:6" x14ac:dyDescent="0.3">
      <c r="A173" t="s">
        <v>322</v>
      </c>
      <c r="B173" t="s">
        <v>107</v>
      </c>
      <c r="C173" t="s">
        <v>31</v>
      </c>
      <c r="D173" t="s">
        <v>12</v>
      </c>
      <c r="E173">
        <v>2386.25</v>
      </c>
      <c r="F173" t="str">
        <f t="shared" si="2"/>
        <v>Jan</v>
      </c>
    </row>
    <row r="174" spans="1:6" x14ac:dyDescent="0.3">
      <c r="A174" t="s">
        <v>323</v>
      </c>
      <c r="B174" t="s">
        <v>324</v>
      </c>
      <c r="C174" t="s">
        <v>31</v>
      </c>
      <c r="D174" t="s">
        <v>12</v>
      </c>
      <c r="E174">
        <v>2729.33</v>
      </c>
      <c r="F174" t="str">
        <f t="shared" si="2"/>
        <v>Jun</v>
      </c>
    </row>
    <row r="175" spans="1:6" x14ac:dyDescent="0.3">
      <c r="A175" t="s">
        <v>325</v>
      </c>
      <c r="B175" t="s">
        <v>326</v>
      </c>
      <c r="C175" t="s">
        <v>11</v>
      </c>
      <c r="D175" t="s">
        <v>15</v>
      </c>
      <c r="E175">
        <v>1898.63</v>
      </c>
      <c r="F175" t="str">
        <f t="shared" si="2"/>
        <v>Sep</v>
      </c>
    </row>
    <row r="176" spans="1:6" x14ac:dyDescent="0.3">
      <c r="A176" t="s">
        <v>327</v>
      </c>
      <c r="B176" t="s">
        <v>328</v>
      </c>
      <c r="C176" t="s">
        <v>18</v>
      </c>
      <c r="D176" t="s">
        <v>15</v>
      </c>
      <c r="E176">
        <v>1611.69</v>
      </c>
      <c r="F176" t="str">
        <f t="shared" si="2"/>
        <v>Jul</v>
      </c>
    </row>
    <row r="177" spans="1:6" x14ac:dyDescent="0.3">
      <c r="A177" t="s">
        <v>329</v>
      </c>
      <c r="B177" t="s">
        <v>330</v>
      </c>
      <c r="C177" t="s">
        <v>7</v>
      </c>
      <c r="D177" t="s">
        <v>8</v>
      </c>
      <c r="E177">
        <v>4517.05</v>
      </c>
      <c r="F177" t="str">
        <f t="shared" si="2"/>
        <v>Feb</v>
      </c>
    </row>
    <row r="178" spans="1:6" x14ac:dyDescent="0.3">
      <c r="A178" t="s">
        <v>331</v>
      </c>
      <c r="B178" t="s">
        <v>267</v>
      </c>
      <c r="C178" t="s">
        <v>11</v>
      </c>
      <c r="D178" t="s">
        <v>8</v>
      </c>
      <c r="E178">
        <v>1503.05</v>
      </c>
      <c r="F178" t="str">
        <f t="shared" si="2"/>
        <v>Feb</v>
      </c>
    </row>
    <row r="179" spans="1:6" x14ac:dyDescent="0.3">
      <c r="A179" t="s">
        <v>332</v>
      </c>
      <c r="B179" t="s">
        <v>333</v>
      </c>
      <c r="C179" t="s">
        <v>7</v>
      </c>
      <c r="D179" t="s">
        <v>12</v>
      </c>
      <c r="E179">
        <v>1427.68</v>
      </c>
      <c r="F179" t="str">
        <f t="shared" si="2"/>
        <v>Feb</v>
      </c>
    </row>
    <row r="180" spans="1:6" x14ac:dyDescent="0.3">
      <c r="A180" t="s">
        <v>334</v>
      </c>
      <c r="B180" t="s">
        <v>37</v>
      </c>
      <c r="C180" t="s">
        <v>7</v>
      </c>
      <c r="D180" t="s">
        <v>15</v>
      </c>
      <c r="E180">
        <v>401.27</v>
      </c>
      <c r="F180" t="str">
        <f t="shared" si="2"/>
        <v>Apr</v>
      </c>
    </row>
    <row r="181" spans="1:6" x14ac:dyDescent="0.3">
      <c r="A181" t="s">
        <v>335</v>
      </c>
      <c r="B181" t="s">
        <v>219</v>
      </c>
      <c r="C181" t="s">
        <v>11</v>
      </c>
      <c r="D181" t="s">
        <v>12</v>
      </c>
      <c r="E181">
        <v>1617.7</v>
      </c>
      <c r="F181" t="str">
        <f t="shared" si="2"/>
        <v>Jan</v>
      </c>
    </row>
    <row r="182" spans="1:6" x14ac:dyDescent="0.3">
      <c r="A182" t="s">
        <v>336</v>
      </c>
      <c r="B182" t="s">
        <v>337</v>
      </c>
      <c r="C182" t="s">
        <v>31</v>
      </c>
      <c r="D182" t="s">
        <v>15</v>
      </c>
      <c r="E182">
        <v>2499.14</v>
      </c>
      <c r="F182" t="str">
        <f t="shared" si="2"/>
        <v>Oct</v>
      </c>
    </row>
    <row r="183" spans="1:6" x14ac:dyDescent="0.3">
      <c r="A183" t="s">
        <v>338</v>
      </c>
      <c r="B183" t="s">
        <v>339</v>
      </c>
      <c r="C183" t="s">
        <v>18</v>
      </c>
      <c r="D183" t="s">
        <v>8</v>
      </c>
      <c r="E183">
        <v>2458.84</v>
      </c>
      <c r="F183" t="str">
        <f t="shared" si="2"/>
        <v>Jul</v>
      </c>
    </row>
    <row r="184" spans="1:6" x14ac:dyDescent="0.3">
      <c r="A184" t="s">
        <v>340</v>
      </c>
      <c r="B184" t="s">
        <v>282</v>
      </c>
      <c r="C184" t="s">
        <v>18</v>
      </c>
      <c r="D184" t="s">
        <v>15</v>
      </c>
      <c r="E184">
        <v>378.03</v>
      </c>
      <c r="F184" t="str">
        <f t="shared" si="2"/>
        <v>Dec</v>
      </c>
    </row>
    <row r="185" spans="1:6" x14ac:dyDescent="0.3">
      <c r="A185" t="s">
        <v>341</v>
      </c>
      <c r="B185" t="s">
        <v>342</v>
      </c>
      <c r="C185" t="s">
        <v>11</v>
      </c>
      <c r="D185" t="s">
        <v>8</v>
      </c>
      <c r="E185">
        <v>3796.37</v>
      </c>
      <c r="F185" t="str">
        <f t="shared" si="2"/>
        <v>Oct</v>
      </c>
    </row>
    <row r="186" spans="1:6" x14ac:dyDescent="0.3">
      <c r="A186" t="s">
        <v>343</v>
      </c>
      <c r="B186" t="s">
        <v>166</v>
      </c>
      <c r="C186" t="s">
        <v>18</v>
      </c>
      <c r="D186" t="s">
        <v>15</v>
      </c>
      <c r="E186">
        <v>1575.04</v>
      </c>
      <c r="F186" t="str">
        <f t="shared" si="2"/>
        <v>Jan</v>
      </c>
    </row>
    <row r="187" spans="1:6" x14ac:dyDescent="0.3">
      <c r="A187" t="s">
        <v>344</v>
      </c>
      <c r="B187" t="s">
        <v>345</v>
      </c>
      <c r="C187" t="s">
        <v>18</v>
      </c>
      <c r="D187" t="s">
        <v>15</v>
      </c>
      <c r="E187">
        <v>4216.05</v>
      </c>
      <c r="F187" t="str">
        <f t="shared" si="2"/>
        <v>Feb</v>
      </c>
    </row>
    <row r="188" spans="1:6" x14ac:dyDescent="0.3">
      <c r="A188" t="s">
        <v>346</v>
      </c>
      <c r="B188" t="s">
        <v>347</v>
      </c>
      <c r="C188" t="s">
        <v>31</v>
      </c>
      <c r="D188" t="s">
        <v>15</v>
      </c>
      <c r="E188">
        <v>2549.1799999999998</v>
      </c>
      <c r="F188" t="str">
        <f t="shared" si="2"/>
        <v>Jun</v>
      </c>
    </row>
    <row r="189" spans="1:6" x14ac:dyDescent="0.3">
      <c r="A189" t="s">
        <v>348</v>
      </c>
      <c r="B189" t="s">
        <v>349</v>
      </c>
      <c r="C189" t="s">
        <v>7</v>
      </c>
      <c r="D189" t="s">
        <v>15</v>
      </c>
      <c r="E189">
        <v>4209.34</v>
      </c>
      <c r="F189" t="str">
        <f t="shared" si="2"/>
        <v>Jul</v>
      </c>
    </row>
    <row r="190" spans="1:6" x14ac:dyDescent="0.3">
      <c r="A190" t="s">
        <v>350</v>
      </c>
      <c r="B190" t="s">
        <v>351</v>
      </c>
      <c r="C190" t="s">
        <v>18</v>
      </c>
      <c r="D190" t="s">
        <v>8</v>
      </c>
      <c r="E190">
        <v>3965.38</v>
      </c>
      <c r="F190" t="str">
        <f t="shared" si="2"/>
        <v>May</v>
      </c>
    </row>
    <row r="191" spans="1:6" x14ac:dyDescent="0.3">
      <c r="A191" t="s">
        <v>352</v>
      </c>
      <c r="B191" t="s">
        <v>353</v>
      </c>
      <c r="C191" t="s">
        <v>31</v>
      </c>
      <c r="D191" t="s">
        <v>8</v>
      </c>
      <c r="E191">
        <v>2354.98</v>
      </c>
      <c r="F191" t="str">
        <f t="shared" si="2"/>
        <v>Jun</v>
      </c>
    </row>
    <row r="192" spans="1:6" x14ac:dyDescent="0.3">
      <c r="A192" t="s">
        <v>354</v>
      </c>
      <c r="B192" t="s">
        <v>355</v>
      </c>
      <c r="C192" t="s">
        <v>7</v>
      </c>
      <c r="D192" t="s">
        <v>8</v>
      </c>
      <c r="E192">
        <v>1098.33</v>
      </c>
      <c r="F192" t="str">
        <f t="shared" si="2"/>
        <v>Jul</v>
      </c>
    </row>
    <row r="193" spans="1:6" x14ac:dyDescent="0.3">
      <c r="A193" t="s">
        <v>356</v>
      </c>
      <c r="B193" t="s">
        <v>357</v>
      </c>
      <c r="C193" t="s">
        <v>11</v>
      </c>
      <c r="D193" t="s">
        <v>8</v>
      </c>
      <c r="E193">
        <v>2961.25</v>
      </c>
      <c r="F193" t="str">
        <f t="shared" si="2"/>
        <v>Mar</v>
      </c>
    </row>
    <row r="194" spans="1:6" x14ac:dyDescent="0.3">
      <c r="A194" t="s">
        <v>358</v>
      </c>
      <c r="B194" t="s">
        <v>225</v>
      </c>
      <c r="C194" t="s">
        <v>11</v>
      </c>
      <c r="D194" t="s">
        <v>12</v>
      </c>
      <c r="E194">
        <v>3237.74</v>
      </c>
      <c r="F194" t="str">
        <f t="shared" si="2"/>
        <v>Sep</v>
      </c>
    </row>
    <row r="195" spans="1:6" x14ac:dyDescent="0.3">
      <c r="A195" t="s">
        <v>359</v>
      </c>
      <c r="B195" t="s">
        <v>360</v>
      </c>
      <c r="C195" t="s">
        <v>18</v>
      </c>
      <c r="D195" t="s">
        <v>15</v>
      </c>
      <c r="E195">
        <v>1140.49</v>
      </c>
      <c r="F195" t="str">
        <f t="shared" ref="F195:F201" si="3">TEXT(B195,"mmm")</f>
        <v>Jul</v>
      </c>
    </row>
    <row r="196" spans="1:6" x14ac:dyDescent="0.3">
      <c r="A196" t="s">
        <v>361</v>
      </c>
      <c r="B196" t="s">
        <v>362</v>
      </c>
      <c r="C196" t="s">
        <v>31</v>
      </c>
      <c r="D196" t="s">
        <v>12</v>
      </c>
      <c r="E196">
        <v>3054.6</v>
      </c>
      <c r="F196" t="str">
        <f t="shared" si="3"/>
        <v>Jan</v>
      </c>
    </row>
    <row r="197" spans="1:6" x14ac:dyDescent="0.3">
      <c r="A197" t="s">
        <v>363</v>
      </c>
      <c r="B197" t="s">
        <v>235</v>
      </c>
      <c r="C197" t="s">
        <v>7</v>
      </c>
      <c r="D197" t="s">
        <v>15</v>
      </c>
      <c r="E197">
        <v>1358.11</v>
      </c>
      <c r="F197" t="str">
        <f t="shared" si="3"/>
        <v>Nov</v>
      </c>
    </row>
    <row r="198" spans="1:6" x14ac:dyDescent="0.3">
      <c r="A198" t="s">
        <v>364</v>
      </c>
      <c r="B198" t="s">
        <v>365</v>
      </c>
      <c r="C198" t="s">
        <v>31</v>
      </c>
      <c r="D198" t="s">
        <v>8</v>
      </c>
      <c r="E198">
        <v>3976.39</v>
      </c>
      <c r="F198" t="str">
        <f t="shared" si="3"/>
        <v>Aug</v>
      </c>
    </row>
    <row r="199" spans="1:6" x14ac:dyDescent="0.3">
      <c r="A199" t="s">
        <v>366</v>
      </c>
      <c r="B199" t="s">
        <v>367</v>
      </c>
      <c r="C199" t="s">
        <v>31</v>
      </c>
      <c r="D199" t="s">
        <v>15</v>
      </c>
      <c r="E199">
        <v>1653.24</v>
      </c>
      <c r="F199" t="str">
        <f t="shared" si="3"/>
        <v>Feb</v>
      </c>
    </row>
    <row r="200" spans="1:6" x14ac:dyDescent="0.3">
      <c r="A200" t="s">
        <v>368</v>
      </c>
      <c r="B200" t="s">
        <v>369</v>
      </c>
      <c r="C200" t="s">
        <v>11</v>
      </c>
      <c r="D200" t="s">
        <v>12</v>
      </c>
      <c r="E200">
        <v>3194</v>
      </c>
      <c r="F200" t="str">
        <f t="shared" si="3"/>
        <v>Dec</v>
      </c>
    </row>
    <row r="201" spans="1:6" x14ac:dyDescent="0.3">
      <c r="A201" t="s">
        <v>370</v>
      </c>
      <c r="B201" t="s">
        <v>357</v>
      </c>
      <c r="C201" t="s">
        <v>18</v>
      </c>
      <c r="D201" t="s">
        <v>12</v>
      </c>
      <c r="E201">
        <v>2146.29</v>
      </c>
      <c r="F201" t="str">
        <f t="shared" si="3"/>
        <v>Mar</v>
      </c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1" sqref="C1"/>
    </sheetView>
  </sheetViews>
  <sheetFormatPr defaultRowHeight="14.4" x14ac:dyDescent="0.3"/>
  <cols>
    <col min="1" max="1" width="14.33203125" customWidth="1"/>
    <col min="2" max="2" width="7.77734375" customWidth="1"/>
    <col min="3" max="3" width="13.77734375" customWidth="1"/>
    <col min="5" max="5" width="16.109375" customWidth="1"/>
  </cols>
  <sheetData>
    <row r="1" spans="1:6" ht="16.2" thickBot="1" x14ac:dyDescent="0.35">
      <c r="A1" s="9" t="s">
        <v>389</v>
      </c>
      <c r="B1" s="7"/>
      <c r="C1" s="9" t="s">
        <v>387</v>
      </c>
      <c r="D1" s="4"/>
      <c r="E1" s="9" t="s">
        <v>388</v>
      </c>
      <c r="F1" s="4"/>
    </row>
    <row r="2" spans="1:6" ht="16.2" thickBot="1" x14ac:dyDescent="0.35">
      <c r="A2" s="6">
        <v>533937</v>
      </c>
      <c r="B2" s="5"/>
      <c r="C2" s="8" t="s">
        <v>390</v>
      </c>
      <c r="D2" s="4"/>
      <c r="E2" s="8" t="s">
        <v>8</v>
      </c>
      <c r="F2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 Analysis</vt:lpstr>
      <vt:lpstr>Category Analysis</vt:lpstr>
      <vt:lpstr>Monthly Trend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2026-04-24T15:12:27Z</dcterms:created>
  <dcterms:modified xsi:type="dcterms:W3CDTF">2026-04-24T17:52:25Z</dcterms:modified>
</cp:coreProperties>
</file>